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28CA238E-F06F-46FA-A4C8-B226220C485F}" xr6:coauthVersionLast="47" xr6:coauthVersionMax="47" xr10:uidLastSave="{00000000-0000-0000-0000-000000000000}"/>
  <bookViews>
    <workbookView xWindow="-120" yWindow="-120" windowWidth="20730" windowHeight="1104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9" l="1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3" i="9"/>
  <c r="E27" i="9" l="1"/>
  <c r="D27" i="9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B7" i="7" a="1"/>
  <c r="B12" i="7" a="1"/>
  <c r="B25" i="7" a="1"/>
  <c r="B5" i="7" a="1"/>
  <c r="B15" i="7" a="1"/>
  <c r="B20" i="7" a="1"/>
  <c r="B8" i="7" a="1"/>
  <c r="B19" i="7" a="1"/>
  <c r="B18" i="7" a="1"/>
  <c r="B10" i="7" a="1"/>
  <c r="B11" i="7" a="1"/>
  <c r="B4" i="7" a="1"/>
  <c r="B23" i="7" a="1"/>
  <c r="B24" i="7" a="1"/>
  <c r="B9" i="7" a="1"/>
  <c r="B2" i="7" a="1"/>
  <c r="B21" i="7" a="1"/>
  <c r="B6" i="7" a="1"/>
  <c r="B16" i="7" a="1"/>
  <c r="B22" i="7" a="1"/>
  <c r="B14" i="7" a="1"/>
  <c r="B17" i="7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<sst xmlns="http://schemas.openxmlformats.org/spreadsheetml/2006/main" count="112" uniqueCount="85">
  <si>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</si>
  <si>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</si>
  <si>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</si>
  <si>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</si>
  <si>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</si>
  <si>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</si>
  <si>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</si>
  <si>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</si>
  <si>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</si>
  <si>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</si>
  <si>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</si>
  <si>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</si>
  <si>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</si>
  <si>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</si>
  <si>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</si>
  <si>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</si>
  <si>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</si>
  <si>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</si>
  <si>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</si>
  <si>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</si>
  <si>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</si>
  <si>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</si>
  <si>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</si>
  <si>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</si>
  <si>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</si>
  <si>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</si>
  <si>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</si>
  <si>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</si>
  <si>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</si>
  <si>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</si>
  <si>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</si>
  <si>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</si>
  <si>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</si>
  <si>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</si>
  <si>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</si>
  <si>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</si>
  <si>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</si>
  <si>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</si>
  <si>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</si>
  <si>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</si>
  <si>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</si>
  <si>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</si>
  <si>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</si>
  <si>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</si>
  <si>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</si>
  <si>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</si>
  <si>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</si>
  <si>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</si>
  <si>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</si>
  <si>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</si>
  <si>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</si>
  <si>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</si>
  <si>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</si>
  <si>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</si>
  <si>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</si>
  <si>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</si>
  <si>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</si>
  <si>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</si>
  <si>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</si>
  <si>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</si>
  <si>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</si>
  <si>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</si>
  <si>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</si>
  <si>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</si>
  <si>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</si>
  <si>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</si>
  <si>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</si>
  <si>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</si>
  <si>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</si>
  <si>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</si>
  <si>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</si>
  <si>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</si>
  <si>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</si>
  <si>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</si>
  <si>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</si>
  <si>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</si>
  <si>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</si>
  <si>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</si>
  <si>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</si>
  <si>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</si>
  <si>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</si>
  <si>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</si>
  <si>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</si>
  <si>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</si>
  <si>
    <t>1405/05/17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</si>
</sst>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0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  <font>
      <sz val="8"/>
      <name val="Aptos Narrow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6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7" totalsRowCount="1" headerRowDxfId="65" dataDxfId="63" totalsRowDxfId="62" headerRowBorderDxfId="64">
  <autoFilter ref="A1:AC26" xr:uid="{6E6717F1-F1A4-4F16-8044-A9875CFC245B}"/>
  <tableColumns count="29">
    <tableColumn id="1" xr3:uid="{2FB7AC62-7D8B-48CA-88D0-FDD3661FEABF}" name="ردیف" dataDxfId="61" totalsRowDxfId="28"/>
    <tableColumn id="3" xr3:uid="{AB87C0B4-9201-4F40-A792-90EC502B5EA6}" name="نام استان" dataDxfId="60" totalsRowDxfId="27"/>
    <tableColumn id="2" xr3:uid="{53A50CBC-5B42-4ACA-A29E-D0A5E8A55E8C}" name="تاریخ گزارش" dataDxfId="59" totalsRowDxfId="26"/>
    <tableColumn id="29" xr3:uid="{C81548B6-C49B-4433-B040-1475500B0B58}" name="شهرهای آسسیب دیده" totalsRowFunction="custom" dataDxfId="58" totalsRowDxfId="25">
      <totalsRowFormula>D26+D25+D24+D23+D22+D21+D20+D19+D18+D17+D16+D15+D14+D13+D12+D11+D10+D9+D8+D7+D6+D5+D4+D3</totalsRowFormula>
    </tableColumn>
    <tableColumn id="30" xr3:uid="{2C2C7158-B8DA-42F1-82E1-1665232057AD}" name=" روستا های آسیب دیده" totalsRowFunction="custom" dataDxfId="57" totalsRowDxfId="24">
      <totalsRowFormula>E26+E25+E24+E23+E22+E21+E20+E19+E18+E17+E16+E15+E14+E13+E12+E11+E10+E9+E8+E7+E6+E5+E4+E3</totalsRowFormula>
    </tableColumn>
    <tableColumn id="4" xr3:uid="{285A0E2C-29D4-497F-A5A1-1C6B648FA22E}" name="تعمیری  نوع 1" dataDxfId="56" totalsRowDxfId="23"/>
    <tableColumn id="5" xr3:uid="{68D05F15-A8E3-42A6-96BA-D51FB2C880DF}" name="تعمیری  نوع 2" dataDxfId="55" totalsRowDxfId="22"/>
    <tableColumn id="6" xr3:uid="{5551C4E8-1CC0-4497-8372-5A189BFD1B69}" name="تعمیری  نوع 3" dataDxfId="54" totalsRowDxfId="21"/>
    <tableColumn id="7" xr3:uid="{6B1711B3-92F0-4ECF-BDCD-63B5F43FCA25}" name="احداثی  " dataDxfId="53" totalsRowDxfId="20"/>
    <tableColumn id="8" xr3:uid="{6C89D5A0-F55B-4A21-B902-2CF2ADB623B1}" name="معیشتی  " dataDxfId="52" totalsRowDxfId="19"/>
    <tableColumn id="9" xr3:uid="{C93A1B6A-26AC-4936-BD1D-CCE0243EAA14}" name="جمع تعمیری  " dataDxfId="51" totalsRowDxfId="18"/>
    <tableColumn id="10" xr3:uid="{1C759F9A-FFDE-46C8-A5E4-89D64D477D40}" name="ارزیابی شهر و روستا  " dataDxfId="50" totalsRowDxfId="17">
      <calculatedColumnFormula>Table3[[#This Row],[جمع تعمیری  ]]+Table3[[#This Row],[معیشتی  ]]+Table3[[#This Row],[احداثی  ]]</calculatedColumnFormula>
    </tableColumn>
    <tableColumn id="11" xr3:uid="{BB3B2BF7-ED5A-4EE5-933D-D978D8F39C3D}" name="ارزیابی کلان‌شهرها  " dataDxfId="49" totalsRowDxfId="16">
      <calculatedColumnFormula>Table3[[#This Row],[احداثی  ]]+Table3[[#This Row],[معیشتی  ]]+Table3[[#This Row],[تعمیری  نوع 3]]+Table3[[#This Row],[تعمیری  نوع 2]]+Table3[[#This Row],[تعمیری  نوع 1]]</calculatedColumnFormula>
    </tableColumn>
    <tableColumn id="12" xr3:uid="{2DFF159E-BDDE-4DB3-AB38-B229E4212AAC}" name="ارزیابی کل  " dataDxfId="48" totalsRowDxfId="15">
      <calculatedColumnFormula>Table3[[#This Row],[ارزیابی شهر و روستا  ]]-Table3[[#This Row],[جمع تعمیری  ]]</calculatedColumnFormula>
    </tableColumn>
    <tableColumn id="13" xr3:uid="{9A8A9A70-BFEB-4E94-9D46-4A2892405B42}" name="کل اعتبار مورد نیاز  (میلیون ریال)  " dataDxfId="47" totalsRowDxfId="14">
      <calculatedColumnFormula>Table3[[#This Row],[اعتبار تعمیری (میلیون ریال)  ]]+Table3[[#This Row],[اعتبار احداثی (میلیون ریال)  ]]</calculatedColumnFormula>
    </tableColumn>
    <tableColumn id="14" xr3:uid="{701ED0B6-FC32-4178-BF8F-1CFF1647EA3D}" name="اعتبار احداثی (میلیون ریال)  " dataDxfId="46" totalsRowDxfId="13"/>
    <tableColumn id="15" xr3:uid="{8FA9E6EB-FB60-4BDE-91B1-02D442E848D8}" name="اعتبار تعمیری (میلیون ریال)  " dataDxfId="45" totalsRowDxfId="12"/>
    <tableColumn id="16" xr3:uid="{2D320D05-15FC-4552-8816-11C0EABC7510}" name="آواربرداری " dataDxfId="44" totalsRowDxfId="11"/>
    <tableColumn id="18" xr3:uid="{A6A367B0-5877-4C4D-84A1-46F620BB5F2D}" name="تعمیرات نوع 1" dataDxfId="43" totalsRowDxfId="10"/>
    <tableColumn id="19" xr3:uid="{C87F0913-9A88-4382-AF17-1BDD17C792DC}" name="تعمیرات نوع 2  " dataDxfId="42" totalsRowDxfId="9"/>
    <tableColumn id="20" xr3:uid="{79BC17B2-D487-4CF3-89C1-3129A9B5ACAE}" name="تعمیرات نوع 3  " dataDxfId="41" totalsRowDxfId="8"/>
    <tableColumn id="21" xr3:uid="{E860E4F9-435F-403A-99DC-4F09B4E8794B}" name="کل تعمیری  " dataDxfId="40" totalsRowDxfId="7"/>
    <tableColumn id="22" xr3:uid="{47EB2854-6047-467B-BA16-506DBA14E507}" name="معرفی به سامانه  " dataDxfId="39" totalsRowDxfId="6"/>
    <tableColumn id="23" xr3:uid="{0ED34F35-9434-4F5B-ACFB-80A7458F3977}" name="تعداد تسهیلات پرداختی  " dataDxfId="38" totalsRowDxfId="5"/>
    <tableColumn id="24" xr3:uid="{DCD79A9D-DE2F-425C-8599-D196FBDB4566}" name="تسهیلات پرداختی (میلیارد تومان)  " dataDxfId="37" totalsRowDxfId="4"/>
    <tableColumn id="25" xr3:uid="{01D646E1-811B-48EC-9221-0D5D49EC924F}" name="معرفی به نظام مهندسی" dataDxfId="36" totalsRowDxfId="3"/>
    <tableColumn id="26" xr3:uid="{7FE23065-0138-4E30-9D70-CF743FFA6B72}" name="نقشه تهیه شده" dataDxfId="35" totalsRowDxfId="2"/>
    <tableColumn id="27" xr3:uid="{3E7C0D45-B032-430F-B645-0655B239A9A0}" name="معرفی به شهرداری" dataDxfId="34" totalsRowDxfId="1"/>
    <tableColumn id="28" xr3:uid="{F2B75F71-1A59-4B6E-9195-9D5C9D62F31F}" name="پروانه صادر شده" dataDxfId="33" totalsRowDxfId="0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32" dataDxfId="31">
  <autoFilter ref="A1:B22" xr:uid="{DEE1957F-E1AA-46B9-9BA0-8CD1D8597BC0}"/>
  <tableColumns count="2">
    <tableColumn id="1" xr3:uid="{B5BAE426-C4CE-46D3-9A67-24B0EC98ED44}" name="نام و نام خانوادگی" dataDxfId="30"/>
    <tableColumn id="2" xr3:uid="{72ACDF6A-4EAE-4258-9051-F66922FA3B55}" name="تلفن همراه" dataDxfId="29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29"/>
  <sheetViews>
    <sheetView rightToLeft="1"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6" sqref="C6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3.375" style="12" bestFit="1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82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80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81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83</v>
      </c>
      <c r="C2" s="22" t="s">
        <v>84</v>
      </c>
      <c r="D2" s="22">
        <v>215</v>
      </c>
      <c r="E2" s="22">
        <v>185</v>
      </c>
      <c r="F2" s="22">
        <v>6009</v>
      </c>
      <c r="G2" s="22">
        <v>38558</v>
      </c>
      <c r="H2" s="22">
        <v>69470</v>
      </c>
      <c r="I2" s="22">
        <v>1200</v>
      </c>
      <c r="J2" s="22">
        <v>25712</v>
      </c>
      <c r="K2" s="22">
        <v>98666</v>
      </c>
      <c r="L2" s="22">
        <v>125578</v>
      </c>
      <c r="M2" s="22">
        <v>19054</v>
      </c>
      <c r="N2" s="22">
        <v>144632</v>
      </c>
      <c r="O2" s="22">
        <v>215456600</v>
      </c>
      <c r="P2" s="22">
        <v>31434400</v>
      </c>
      <c r="Q2" s="22">
        <v>219133400</v>
      </c>
      <c r="R2" s="22">
        <f>SUM(R3:R26)</f>
        <v>477</v>
      </c>
      <c r="S2" s="22">
        <v>1725</v>
      </c>
      <c r="T2" s="22">
        <v>14438</v>
      </c>
      <c r="U2" s="22">
        <v>47363</v>
      </c>
      <c r="V2" s="22">
        <v>63526</v>
      </c>
      <c r="W2" s="22">
        <v>3487</v>
      </c>
      <c r="X2" s="22">
        <v>3005</v>
      </c>
      <c r="Y2" s="23">
        <v>1688.2</v>
      </c>
      <c r="Z2" s="22">
        <v>1477</v>
      </c>
      <c r="AA2" s="22">
        <v>515</v>
      </c>
      <c r="AB2" s="22">
        <v>1273</v>
      </c>
      <c r="AC2" s="22">
        <v>358</v>
      </c>
    </row>
    <row r="3" spans="1:29" s="20" customFormat="1" ht="20.25" x14ac:dyDescent="0.2">
      <c r="A3" s="21">
        <v>1</v>
      </c>
      <c r="B3" s="21" t="s">
        <v>53</v>
      </c>
      <c r="C3" s="21" t="s">
        <v>84</v>
      </c>
      <c r="D3" s="21">
        <v>15</v>
      </c>
      <c r="E3" s="21">
        <v>17</v>
      </c>
      <c r="F3" s="21">
        <v>179</v>
      </c>
      <c r="G3" s="21">
        <v>1683</v>
      </c>
      <c r="H3" s="21">
        <v>6147</v>
      </c>
      <c r="I3" s="21">
        <v>75</v>
      </c>
      <c r="J3" s="21">
        <v>1424</v>
      </c>
      <c r="K3" s="21">
        <v>5048</v>
      </c>
      <c r="L3" s="21">
        <v>6127</v>
      </c>
      <c r="M3" s="21">
        <v>3381</v>
      </c>
      <c r="N3" s="21">
        <f>Table3[[#This Row],[ارزیابی کلان‌شهرها  ]]+Table3[[#This Row],[ارزیابی شهر و روستا  ]]</f>
        <v>9508</v>
      </c>
      <c r="O3" s="21">
        <f>Table3[[#This Row],[اعتبار تعمیری (میلیون ریال)  ]]+Table3[[#This Row],[اعتبار احداثی (میلیون ریال)  ]]</f>
        <v>11871200</v>
      </c>
      <c r="P3" s="21">
        <v>1590200</v>
      </c>
      <c r="Q3" s="21">
        <v>10281000</v>
      </c>
      <c r="R3" s="21">
        <v>62</v>
      </c>
      <c r="S3" s="21">
        <v>38</v>
      </c>
      <c r="T3" s="21">
        <v>792</v>
      </c>
      <c r="U3" s="21">
        <v>3131</v>
      </c>
      <c r="V3" s="21">
        <v>3961</v>
      </c>
      <c r="W3" s="21">
        <v>124</v>
      </c>
      <c r="X3" s="21">
        <v>115</v>
      </c>
      <c r="Y3" s="24">
        <v>46.1</v>
      </c>
      <c r="Z3" s="20">
        <v>56</v>
      </c>
      <c r="AA3" s="20">
        <v>36</v>
      </c>
      <c r="AB3" s="20">
        <v>56</v>
      </c>
      <c r="AC3" s="20">
        <v>19</v>
      </c>
    </row>
    <row r="4" spans="1:29" s="20" customFormat="1" ht="20.25" x14ac:dyDescent="0.2">
      <c r="A4" s="21">
        <v>2</v>
      </c>
      <c r="B4" s="21" t="s">
        <v>54</v>
      </c>
      <c r="C4" s="21" t="s">
        <v>84</v>
      </c>
      <c r="D4" s="21">
        <v>31</v>
      </c>
      <c r="E4" s="21">
        <v>12</v>
      </c>
      <c r="F4" s="21">
        <v>590</v>
      </c>
      <c r="G4" s="21">
        <v>3179</v>
      </c>
      <c r="H4" s="21">
        <v>5447</v>
      </c>
      <c r="I4" s="21">
        <v>55</v>
      </c>
      <c r="J4" s="21">
        <v>2994</v>
      </c>
      <c r="K4" s="21">
        <v>6487</v>
      </c>
      <c r="L4" s="21">
        <v>8370</v>
      </c>
      <c r="M4" s="21">
        <v>3895</v>
      </c>
      <c r="N4" s="21">
        <f>Table3[[#This Row],[ارزیابی کلان‌شهرها  ]]+Table3[[#This Row],[ارزیابی شهر و روستا  ]]</f>
        <v>12265</v>
      </c>
      <c r="O4" s="21">
        <f>Table3[[#This Row],[اعتبار تعمیری (میلیون ریال)  ]]+Table3[[#This Row],[اعتبار احداثی (میلیون ریال)  ]]</f>
        <v>19680200</v>
      </c>
      <c r="P4" s="21">
        <v>1054600</v>
      </c>
      <c r="Q4" s="21">
        <v>18625600</v>
      </c>
      <c r="R4" s="21">
        <v>10</v>
      </c>
      <c r="S4" s="21">
        <v>41</v>
      </c>
      <c r="T4" s="21">
        <v>363</v>
      </c>
      <c r="U4" s="21">
        <v>2859</v>
      </c>
      <c r="V4" s="21">
        <v>3263</v>
      </c>
      <c r="W4" s="21">
        <v>249</v>
      </c>
      <c r="X4" s="21">
        <v>245</v>
      </c>
      <c r="Y4" s="24">
        <v>128.80000000000001</v>
      </c>
      <c r="Z4" s="20">
        <v>38</v>
      </c>
      <c r="AA4" s="20">
        <v>10</v>
      </c>
      <c r="AB4" s="20">
        <v>38</v>
      </c>
      <c r="AC4" s="20">
        <v>5</v>
      </c>
    </row>
    <row r="5" spans="1:29" s="20" customFormat="1" ht="20.25" x14ac:dyDescent="0.2">
      <c r="A5" s="21">
        <v>3</v>
      </c>
      <c r="B5" s="21" t="s">
        <v>55</v>
      </c>
      <c r="C5" s="21" t="s">
        <v>84</v>
      </c>
      <c r="D5" s="21">
        <v>14</v>
      </c>
      <c r="E5" s="21">
        <v>7</v>
      </c>
      <c r="F5" s="21">
        <v>438</v>
      </c>
      <c r="G5" s="21">
        <v>2232</v>
      </c>
      <c r="H5" s="21">
        <v>2159</v>
      </c>
      <c r="I5" s="21">
        <v>126</v>
      </c>
      <c r="J5" s="21">
        <v>1095</v>
      </c>
      <c r="K5" s="21">
        <v>2553</v>
      </c>
      <c r="L5" s="21">
        <v>3171</v>
      </c>
      <c r="M5" s="21">
        <v>2879</v>
      </c>
      <c r="N5" s="21">
        <f>Table3[[#This Row],[ارزیابی کلان‌شهرها  ]]+Table3[[#This Row],[ارزیابی شهر و روستا  ]]</f>
        <v>6050</v>
      </c>
      <c r="O5" s="21">
        <f>Table3[[#This Row],[اعتبار تعمیری (میلیون ریال)  ]]+Table3[[#This Row],[اعتبار احداثی (میلیون ریال)  ]]</f>
        <v>15136600</v>
      </c>
      <c r="P5" s="21">
        <v>2687200</v>
      </c>
      <c r="Q5" s="21">
        <v>12449400</v>
      </c>
      <c r="R5" s="21">
        <v>0</v>
      </c>
      <c r="S5" s="21">
        <v>158</v>
      </c>
      <c r="T5" s="21">
        <v>433</v>
      </c>
      <c r="U5" s="21">
        <v>2940</v>
      </c>
      <c r="V5" s="21">
        <v>3531</v>
      </c>
      <c r="W5" s="21">
        <v>223</v>
      </c>
      <c r="X5" s="21">
        <v>223</v>
      </c>
      <c r="Y5" s="24">
        <v>118.4</v>
      </c>
      <c r="Z5" s="20">
        <v>92</v>
      </c>
      <c r="AA5" s="20">
        <v>0</v>
      </c>
      <c r="AB5" s="20">
        <v>83</v>
      </c>
      <c r="AC5" s="20">
        <v>0</v>
      </c>
    </row>
    <row r="6" spans="1:29" s="20" customFormat="1" ht="20.25" x14ac:dyDescent="0.2">
      <c r="A6" s="21">
        <v>4</v>
      </c>
      <c r="B6" s="21" t="s">
        <v>56</v>
      </c>
      <c r="C6" s="21" t="s">
        <v>84</v>
      </c>
      <c r="D6" s="21">
        <v>13</v>
      </c>
      <c r="E6" s="21">
        <v>20</v>
      </c>
      <c r="F6" s="21">
        <v>356</v>
      </c>
      <c r="G6" s="21">
        <v>4325</v>
      </c>
      <c r="H6" s="21">
        <v>3193</v>
      </c>
      <c r="I6" s="21">
        <v>69</v>
      </c>
      <c r="J6" s="21">
        <v>3262</v>
      </c>
      <c r="K6" s="21">
        <v>7153</v>
      </c>
      <c r="L6" s="21">
        <v>10265</v>
      </c>
      <c r="M6" s="21">
        <v>940</v>
      </c>
      <c r="N6" s="21">
        <f>Table3[[#This Row],[ارزیابی کلان‌شهرها  ]]+Table3[[#This Row],[ارزیابی شهر و روستا  ]]</f>
        <v>11205</v>
      </c>
      <c r="O6" s="21">
        <f>Table3[[#This Row],[اعتبار تعمیری (میلیون ریال)  ]]+Table3[[#This Row],[اعتبار احداثی (میلیون ریال)  ]]</f>
        <v>22275900</v>
      </c>
      <c r="P6" s="21">
        <v>1564800</v>
      </c>
      <c r="Q6" s="21">
        <v>20711100</v>
      </c>
      <c r="R6" s="21">
        <v>23</v>
      </c>
      <c r="S6" s="21">
        <v>23</v>
      </c>
      <c r="T6" s="21">
        <v>852</v>
      </c>
      <c r="U6" s="21">
        <v>2680</v>
      </c>
      <c r="V6" s="21">
        <v>3555</v>
      </c>
      <c r="W6" s="21">
        <v>193</v>
      </c>
      <c r="X6" s="21">
        <v>128</v>
      </c>
      <c r="Y6" s="24">
        <v>68.400000000000006</v>
      </c>
      <c r="Z6" s="20">
        <v>53</v>
      </c>
      <c r="AA6" s="20">
        <v>31</v>
      </c>
      <c r="AB6" s="20">
        <v>65</v>
      </c>
      <c r="AC6" s="20">
        <v>31</v>
      </c>
    </row>
    <row r="7" spans="1:29" s="20" customFormat="1" ht="20.25" x14ac:dyDescent="0.2">
      <c r="A7" s="21">
        <v>5</v>
      </c>
      <c r="B7" s="21" t="s">
        <v>57</v>
      </c>
      <c r="C7" s="21" t="s">
        <v>84</v>
      </c>
      <c r="D7" s="21">
        <v>4</v>
      </c>
      <c r="E7" s="21">
        <v>7</v>
      </c>
      <c r="F7" s="21">
        <v>213</v>
      </c>
      <c r="G7" s="21">
        <v>122</v>
      </c>
      <c r="H7" s="21">
        <v>130</v>
      </c>
      <c r="I7" s="21">
        <v>12</v>
      </c>
      <c r="J7" s="21">
        <v>158</v>
      </c>
      <c r="K7" s="21">
        <v>291</v>
      </c>
      <c r="L7" s="21">
        <v>382</v>
      </c>
      <c r="M7" s="21">
        <v>253</v>
      </c>
      <c r="N7" s="21">
        <f>Table3[[#This Row],[ارزیابی کلان‌شهرها  ]]+Table3[[#This Row],[ارزیابی شهر و روستا  ]]</f>
        <v>635</v>
      </c>
      <c r="O7" s="21">
        <f>Table3[[#This Row],[اعتبار تعمیری (میلیون ریال)  ]]+Table3[[#This Row],[اعتبار احداثی (میلیون ریال)  ]]</f>
        <v>2231100</v>
      </c>
      <c r="P7" s="21">
        <v>300000</v>
      </c>
      <c r="Q7" s="21">
        <v>1931100</v>
      </c>
      <c r="R7" s="21">
        <v>4</v>
      </c>
      <c r="S7" s="21">
        <v>9</v>
      </c>
      <c r="T7" s="21">
        <v>34</v>
      </c>
      <c r="U7" s="21">
        <v>72</v>
      </c>
      <c r="V7" s="21">
        <v>115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84</v>
      </c>
      <c r="D8" s="21">
        <v>1</v>
      </c>
      <c r="E8" s="21">
        <v>3</v>
      </c>
      <c r="F8" s="21">
        <v>243</v>
      </c>
      <c r="G8" s="21">
        <v>1171</v>
      </c>
      <c r="H8" s="21">
        <v>1067</v>
      </c>
      <c r="I8" s="21">
        <v>26</v>
      </c>
      <c r="J8" s="21">
        <v>598</v>
      </c>
      <c r="K8" s="21">
        <v>63</v>
      </c>
      <c r="L8" s="21">
        <v>63</v>
      </c>
      <c r="M8" s="21">
        <v>3042</v>
      </c>
      <c r="N8" s="21">
        <f>Table3[[#This Row],[ارزیابی کلان‌شهرها  ]]+Table3[[#This Row],[ارزیابی شهر و روستا  ]]</f>
        <v>3105</v>
      </c>
      <c r="O8" s="21">
        <f>Table3[[#This Row],[اعتبار تعمیری (میلیون ریال)  ]]+Table3[[#This Row],[اعتبار احداثی (میلیون ریال)  ]]</f>
        <v>6806700</v>
      </c>
      <c r="P8" s="21">
        <v>650000</v>
      </c>
      <c r="Q8" s="21">
        <v>6156700</v>
      </c>
      <c r="R8" s="21">
        <v>1</v>
      </c>
      <c r="S8" s="21">
        <v>74</v>
      </c>
      <c r="T8" s="21">
        <v>411</v>
      </c>
      <c r="U8" s="21">
        <v>907</v>
      </c>
      <c r="V8" s="21">
        <v>1392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84</v>
      </c>
      <c r="D9" s="21">
        <v>18</v>
      </c>
      <c r="E9" s="21">
        <v>9</v>
      </c>
      <c r="F9" s="21">
        <v>455</v>
      </c>
      <c r="G9" s="21">
        <v>1367</v>
      </c>
      <c r="H9" s="21">
        <v>13044</v>
      </c>
      <c r="I9" s="21">
        <v>168</v>
      </c>
      <c r="J9" s="21">
        <v>2677</v>
      </c>
      <c r="K9" s="21">
        <v>11126</v>
      </c>
      <c r="L9" s="21">
        <v>13036</v>
      </c>
      <c r="M9" s="21">
        <v>4675</v>
      </c>
      <c r="N9" s="21">
        <f>Table3[[#This Row],[ارزیابی کلان‌شهرها  ]]+Table3[[#This Row],[ارزیابی شهر و روستا  ]]</f>
        <v>17711</v>
      </c>
      <c r="O9" s="21">
        <f>Table3[[#This Row],[اعتبار تعمیری (میلیون ریال)  ]]+Table3[[#This Row],[اعتبار احداثی (میلیون ریال)  ]]</f>
        <v>19031900</v>
      </c>
      <c r="P9" s="21">
        <v>3968600</v>
      </c>
      <c r="Q9" s="21">
        <v>15063300</v>
      </c>
      <c r="R9" s="21">
        <v>105</v>
      </c>
      <c r="S9" s="21">
        <v>148</v>
      </c>
      <c r="T9" s="21">
        <v>552</v>
      </c>
      <c r="U9" s="21">
        <v>8496</v>
      </c>
      <c r="V9" s="21">
        <v>9196</v>
      </c>
      <c r="W9" s="21">
        <v>497</v>
      </c>
      <c r="X9" s="21">
        <v>477</v>
      </c>
      <c r="Y9" s="24">
        <v>497</v>
      </c>
      <c r="Z9" s="20">
        <v>166</v>
      </c>
      <c r="AA9" s="20">
        <v>37</v>
      </c>
      <c r="AB9" s="20">
        <v>168</v>
      </c>
      <c r="AC9" s="20">
        <v>30</v>
      </c>
    </row>
    <row r="10" spans="1:29" s="20" customFormat="1" ht="20.25" x14ac:dyDescent="0.2">
      <c r="A10" s="21">
        <v>8</v>
      </c>
      <c r="B10" s="21" t="s">
        <v>60</v>
      </c>
      <c r="C10" s="21" t="s">
        <v>84</v>
      </c>
      <c r="D10" s="21">
        <v>16</v>
      </c>
      <c r="E10" s="21">
        <v>3</v>
      </c>
      <c r="F10" s="21">
        <v>468</v>
      </c>
      <c r="G10" s="21">
        <v>5134</v>
      </c>
      <c r="H10" s="21">
        <v>5164</v>
      </c>
      <c r="I10" s="21">
        <v>182</v>
      </c>
      <c r="J10" s="21">
        <v>3812</v>
      </c>
      <c r="K10" s="21">
        <v>10766</v>
      </c>
      <c r="L10" s="21">
        <v>14760</v>
      </c>
      <c r="M10" s="21">
        <v>0</v>
      </c>
      <c r="N10" s="21">
        <f>Table3[[#This Row],[ارزیابی کلان‌شهرها  ]]+Table3[[#This Row],[ارزیابی شهر و روستا  ]]</f>
        <v>14760</v>
      </c>
      <c r="O10" s="21">
        <f>Table3[[#This Row],[اعتبار تعمیری (میلیون ریال)  ]]+Table3[[#This Row],[اعتبار احداثی (میلیون ریال)  ]]</f>
        <v>29227900</v>
      </c>
      <c r="P10" s="21">
        <v>4069400</v>
      </c>
      <c r="Q10" s="21">
        <v>25158500</v>
      </c>
      <c r="R10" s="21">
        <v>47</v>
      </c>
      <c r="S10" s="21">
        <v>281</v>
      </c>
      <c r="T10" s="21">
        <v>3410</v>
      </c>
      <c r="U10" s="21">
        <v>4863</v>
      </c>
      <c r="V10" s="21">
        <v>8554</v>
      </c>
      <c r="W10" s="21">
        <v>313</v>
      </c>
      <c r="X10" s="21">
        <v>281</v>
      </c>
      <c r="Y10" s="24">
        <v>155.19999999999999</v>
      </c>
      <c r="Z10" s="20">
        <v>182</v>
      </c>
      <c r="AA10" s="20">
        <v>15</v>
      </c>
      <c r="AB10" s="20">
        <v>123</v>
      </c>
      <c r="AC10" s="20">
        <v>15</v>
      </c>
    </row>
    <row r="11" spans="1:29" s="20" customFormat="1" ht="20.25" x14ac:dyDescent="0.2">
      <c r="A11" s="21">
        <v>9</v>
      </c>
      <c r="B11" s="21" t="s">
        <v>61</v>
      </c>
      <c r="C11" s="21" t="s">
        <v>84</v>
      </c>
      <c r="D11" s="21">
        <v>13</v>
      </c>
      <c r="E11" s="21">
        <v>3</v>
      </c>
      <c r="F11" s="21">
        <v>727</v>
      </c>
      <c r="G11" s="21">
        <v>1364</v>
      </c>
      <c r="H11" s="21">
        <v>7159</v>
      </c>
      <c r="I11" s="21">
        <v>78</v>
      </c>
      <c r="J11" s="21">
        <v>3009</v>
      </c>
      <c r="K11" s="21">
        <v>9191</v>
      </c>
      <c r="L11" s="21">
        <v>12337</v>
      </c>
      <c r="M11" s="21">
        <v>0</v>
      </c>
      <c r="N11" s="21">
        <f>Table3[[#This Row],[ارزیابی کلان‌شهرها  ]]+Table3[[#This Row],[ارزیابی شهر و روستا  ]]</f>
        <v>12337</v>
      </c>
      <c r="O11" s="21">
        <f>Table3[[#This Row],[اعتبار تعمیری (میلیون ریال)  ]]+Table3[[#This Row],[اعتبار احداثی (میلیون ریال)  ]]</f>
        <v>14961400</v>
      </c>
      <c r="P11" s="21">
        <v>1576200</v>
      </c>
      <c r="Q11" s="21">
        <v>13385200</v>
      </c>
      <c r="R11" s="21">
        <v>40</v>
      </c>
      <c r="S11" s="21">
        <v>199</v>
      </c>
      <c r="T11" s="21">
        <v>377</v>
      </c>
      <c r="U11" s="21">
        <v>2028</v>
      </c>
      <c r="V11" s="21">
        <v>2604</v>
      </c>
      <c r="W11" s="21">
        <v>107</v>
      </c>
      <c r="X11" s="21">
        <v>95</v>
      </c>
      <c r="Y11" s="24">
        <v>44.7</v>
      </c>
      <c r="Z11" s="20">
        <v>78</v>
      </c>
      <c r="AA11" s="20">
        <v>15</v>
      </c>
      <c r="AB11" s="20">
        <v>78</v>
      </c>
      <c r="AC11" s="20">
        <v>12</v>
      </c>
    </row>
    <row r="12" spans="1:29" s="20" customFormat="1" ht="20.25" x14ac:dyDescent="0.2">
      <c r="A12" s="21">
        <v>10</v>
      </c>
      <c r="B12" s="21" t="s">
        <v>62</v>
      </c>
      <c r="C12" s="21" t="s">
        <v>84</v>
      </c>
      <c r="D12" s="21">
        <v>8</v>
      </c>
      <c r="E12" s="21">
        <v>13</v>
      </c>
      <c r="F12" s="21">
        <v>14</v>
      </c>
      <c r="G12" s="21">
        <v>3562</v>
      </c>
      <c r="H12" s="21">
        <v>2694</v>
      </c>
      <c r="I12" s="21">
        <v>2</v>
      </c>
      <c r="J12" s="21">
        <v>1428</v>
      </c>
      <c r="K12" s="21">
        <v>6230</v>
      </c>
      <c r="L12" s="21">
        <v>7700</v>
      </c>
      <c r="M12" s="21">
        <v>0</v>
      </c>
      <c r="N12" s="21">
        <f>Table3[[#This Row],[ارزیابی کلان‌شهرها  ]]+Table3[[#This Row],[ارزیابی شهر و روستا  ]]</f>
        <v>7700</v>
      </c>
      <c r="O12" s="21">
        <f>Table3[[#This Row],[اعتبار تعمیری (میلیون ریال)  ]]+Table3[[#This Row],[اعتبار احداثی (میلیون ریال)  ]]</f>
        <v>14821200</v>
      </c>
      <c r="P12" s="21">
        <v>50000</v>
      </c>
      <c r="Q12" s="21">
        <v>14771200</v>
      </c>
      <c r="R12" s="21">
        <v>0</v>
      </c>
      <c r="S12" s="21">
        <v>4</v>
      </c>
      <c r="T12" s="21">
        <v>2168</v>
      </c>
      <c r="U12" s="21">
        <v>2076</v>
      </c>
      <c r="V12" s="21">
        <v>4248</v>
      </c>
      <c r="W12" s="21">
        <v>6</v>
      </c>
      <c r="X12" s="21">
        <v>6</v>
      </c>
      <c r="Y12" s="24">
        <v>4.2</v>
      </c>
      <c r="Z12" s="20">
        <v>8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84</v>
      </c>
      <c r="D13" s="21">
        <v>3</v>
      </c>
      <c r="E13" s="21">
        <v>3</v>
      </c>
      <c r="F13" s="21">
        <v>94</v>
      </c>
      <c r="G13" s="21">
        <v>433</v>
      </c>
      <c r="H13" s="21">
        <v>1068</v>
      </c>
      <c r="I13" s="21">
        <v>28</v>
      </c>
      <c r="J13" s="21">
        <v>219</v>
      </c>
      <c r="K13" s="21">
        <v>1574</v>
      </c>
      <c r="L13" s="21">
        <v>1842</v>
      </c>
      <c r="M13" s="21">
        <v>0</v>
      </c>
      <c r="N13" s="21">
        <f>Table3[[#This Row],[ارزیابی کلان‌شهرها  ]]+Table3[[#This Row],[ارزیابی شهر و روستا  ]]</f>
        <v>1842</v>
      </c>
      <c r="O13" s="21">
        <f>Table3[[#This Row],[اعتبار تعمیری (میلیون ریال)  ]]+Table3[[#This Row],[اعتبار احداثی (میلیون ریال)  ]]</f>
        <v>3204400</v>
      </c>
      <c r="P13" s="21">
        <v>539800</v>
      </c>
      <c r="Q13" s="21">
        <v>2664600</v>
      </c>
      <c r="R13" s="21">
        <v>7</v>
      </c>
      <c r="S13" s="21">
        <v>31</v>
      </c>
      <c r="T13" s="21">
        <v>297</v>
      </c>
      <c r="U13" s="21">
        <v>636</v>
      </c>
      <c r="V13" s="21">
        <v>964</v>
      </c>
      <c r="W13" s="21">
        <v>29</v>
      </c>
      <c r="X13" s="21">
        <v>24</v>
      </c>
      <c r="Y13" s="24">
        <v>16.8</v>
      </c>
      <c r="Z13" s="20">
        <v>36</v>
      </c>
      <c r="AA13" s="20">
        <v>9</v>
      </c>
      <c r="AB13" s="20">
        <v>36</v>
      </c>
      <c r="AC13" s="20">
        <v>4</v>
      </c>
    </row>
    <row r="14" spans="1:29" s="20" customFormat="1" ht="20.25" x14ac:dyDescent="0.2">
      <c r="A14" s="21">
        <v>12</v>
      </c>
      <c r="B14" s="21" t="s">
        <v>64</v>
      </c>
      <c r="C14" s="21" t="s">
        <v>84</v>
      </c>
      <c r="D14" s="21">
        <v>4</v>
      </c>
      <c r="E14" s="21">
        <v>4</v>
      </c>
      <c r="F14" s="21">
        <v>37</v>
      </c>
      <c r="G14" s="21">
        <v>217</v>
      </c>
      <c r="H14" s="21">
        <v>497</v>
      </c>
      <c r="I14" s="21">
        <v>20</v>
      </c>
      <c r="J14" s="21">
        <v>379</v>
      </c>
      <c r="K14" s="21">
        <v>751</v>
      </c>
      <c r="L14" s="21">
        <v>1150</v>
      </c>
      <c r="M14" s="21">
        <v>0</v>
      </c>
      <c r="N14" s="21">
        <f>Table3[[#This Row],[ارزیابی کلان‌شهرها  ]]+Table3[[#This Row],[ارزیابی شهر و روستا  ]]</f>
        <v>1150</v>
      </c>
      <c r="O14" s="21">
        <f>Table3[[#This Row],[اعتبار تعمیری (میلیون ریال)  ]]+Table3[[#This Row],[اعتبار احداثی (میلیون ریال)  ]]</f>
        <v>1746100</v>
      </c>
      <c r="P14" s="21">
        <v>482200</v>
      </c>
      <c r="Q14" s="21">
        <v>1263900</v>
      </c>
      <c r="R14" s="21">
        <v>20</v>
      </c>
      <c r="S14" s="21">
        <v>20</v>
      </c>
      <c r="T14" s="21">
        <v>125</v>
      </c>
      <c r="U14" s="21">
        <v>497</v>
      </c>
      <c r="V14" s="21">
        <v>642</v>
      </c>
      <c r="W14" s="21">
        <v>29</v>
      </c>
      <c r="X14" s="21">
        <v>28</v>
      </c>
      <c r="Y14" s="24">
        <v>12.3</v>
      </c>
      <c r="Z14" s="20">
        <v>20</v>
      </c>
      <c r="AA14" s="20">
        <v>19</v>
      </c>
      <c r="AB14" s="20">
        <v>20</v>
      </c>
      <c r="AC14" s="20">
        <v>19</v>
      </c>
    </row>
    <row r="15" spans="1:29" s="20" customFormat="1" ht="20.25" x14ac:dyDescent="0.2">
      <c r="A15" s="21">
        <v>13</v>
      </c>
      <c r="B15" s="21" t="s">
        <v>65</v>
      </c>
      <c r="C15" s="21" t="s">
        <v>84</v>
      </c>
      <c r="D15" s="21">
        <v>16</v>
      </c>
      <c r="E15" s="21">
        <v>11</v>
      </c>
      <c r="F15" s="21">
        <v>666</v>
      </c>
      <c r="G15" s="21">
        <v>3519</v>
      </c>
      <c r="H15" s="21">
        <v>8819</v>
      </c>
      <c r="I15" s="21">
        <v>149</v>
      </c>
      <c r="J15" s="21">
        <v>2953</v>
      </c>
      <c r="K15" s="21">
        <v>12971</v>
      </c>
      <c r="L15" s="21">
        <v>16106</v>
      </c>
      <c r="M15" s="21">
        <v>0</v>
      </c>
      <c r="N15" s="21">
        <f>Table3[[#This Row],[ارزیابی کلان‌شهرها  ]]+Table3[[#This Row],[ارزیابی شهر و روستا  ]]</f>
        <v>16106</v>
      </c>
      <c r="O15" s="21">
        <f>Table3[[#This Row],[اعتبار تعمیری (میلیون ریال)  ]]+Table3[[#This Row],[اعتبار احداثی (میلیون ریال)  ]]</f>
        <v>25029100</v>
      </c>
      <c r="P15" s="21">
        <v>2852800</v>
      </c>
      <c r="Q15" s="21">
        <v>22176300</v>
      </c>
      <c r="R15" s="21">
        <v>64</v>
      </c>
      <c r="S15" s="21">
        <v>197</v>
      </c>
      <c r="T15" s="21">
        <v>1262</v>
      </c>
      <c r="U15" s="21">
        <v>6605</v>
      </c>
      <c r="V15" s="21">
        <v>8064</v>
      </c>
      <c r="W15" s="21">
        <v>205</v>
      </c>
      <c r="X15" s="21">
        <v>175</v>
      </c>
      <c r="Y15" s="24">
        <v>103.8</v>
      </c>
      <c r="Z15" s="20">
        <v>157</v>
      </c>
      <c r="AA15" s="20">
        <v>18</v>
      </c>
      <c r="AB15" s="20">
        <v>83</v>
      </c>
      <c r="AC15" s="20">
        <v>10</v>
      </c>
    </row>
    <row r="16" spans="1:29" s="20" customFormat="1" ht="20.25" x14ac:dyDescent="0.2">
      <c r="A16" s="21">
        <v>14</v>
      </c>
      <c r="B16" s="21" t="s">
        <v>66</v>
      </c>
      <c r="C16" s="21" t="s">
        <v>84</v>
      </c>
      <c r="D16" s="21">
        <v>20</v>
      </c>
      <c r="E16" s="21">
        <v>13</v>
      </c>
      <c r="F16" s="21">
        <v>561</v>
      </c>
      <c r="G16" s="21">
        <v>3378</v>
      </c>
      <c r="H16" s="21">
        <v>3096</v>
      </c>
      <c r="I16" s="21">
        <v>135</v>
      </c>
      <c r="J16" s="21">
        <v>2140</v>
      </c>
      <c r="K16" s="21">
        <v>7006</v>
      </c>
      <c r="L16" s="21">
        <v>9310</v>
      </c>
      <c r="M16" s="21">
        <v>0</v>
      </c>
      <c r="N16" s="21">
        <f>Table3[[#This Row],[ارزیابی کلان‌شهرها  ]]+Table3[[#This Row],[ارزیابی شهر و روستا  ]]</f>
        <v>9310</v>
      </c>
      <c r="O16" s="21">
        <f>Table3[[#This Row],[اعتبار تعمیری (میلیون ریال)  ]]+Table3[[#This Row],[اعتبار احداثی (میلیون ریال)  ]]</f>
        <v>20720800</v>
      </c>
      <c r="P16" s="21">
        <v>3072400</v>
      </c>
      <c r="Q16" s="21">
        <v>17648400</v>
      </c>
      <c r="R16" s="21">
        <v>26</v>
      </c>
      <c r="S16" s="21">
        <v>82</v>
      </c>
      <c r="T16" s="21">
        <v>85</v>
      </c>
      <c r="U16" s="21">
        <v>1015</v>
      </c>
      <c r="V16" s="21">
        <v>1182</v>
      </c>
      <c r="W16" s="21">
        <v>259</v>
      </c>
      <c r="X16" s="21">
        <v>238</v>
      </c>
      <c r="Y16" s="24">
        <v>144.19999999999999</v>
      </c>
      <c r="Z16" s="20">
        <v>156</v>
      </c>
      <c r="AA16" s="20">
        <v>51</v>
      </c>
      <c r="AB16" s="20">
        <v>128</v>
      </c>
      <c r="AC16" s="20">
        <v>30</v>
      </c>
    </row>
    <row r="17" spans="1:29" s="20" customFormat="1" ht="20.25" x14ac:dyDescent="0.2">
      <c r="A17" s="21">
        <v>15</v>
      </c>
      <c r="B17" s="21" t="s">
        <v>67</v>
      </c>
      <c r="C17" s="21" t="s">
        <v>84</v>
      </c>
      <c r="D17" s="21">
        <v>3</v>
      </c>
      <c r="E17" s="21">
        <v>6</v>
      </c>
      <c r="F17" s="21">
        <v>212</v>
      </c>
      <c r="G17" s="21">
        <v>1169</v>
      </c>
      <c r="H17" s="21">
        <v>1760</v>
      </c>
      <c r="I17" s="21">
        <v>57</v>
      </c>
      <c r="J17" s="21">
        <v>985</v>
      </c>
      <c r="K17" s="21">
        <v>3067</v>
      </c>
      <c r="L17" s="21">
        <v>4183</v>
      </c>
      <c r="M17" s="21">
        <v>0</v>
      </c>
      <c r="N17" s="21">
        <f>Table3[[#This Row],[ارزیابی کلان‌شهرها  ]]+Table3[[#This Row],[ارزیابی شهر و روستا  ]]</f>
        <v>4183</v>
      </c>
      <c r="O17" s="21">
        <f>Table3[[#This Row],[اعتبار تعمیری (میلیون ریال)  ]]+Table3[[#This Row],[اعتبار احداثی (میلیون ریال)  ]]</f>
        <v>8231100</v>
      </c>
      <c r="P17" s="21">
        <v>1407200</v>
      </c>
      <c r="Q17" s="21">
        <v>6823900</v>
      </c>
      <c r="R17" s="21">
        <v>28</v>
      </c>
      <c r="S17" s="21">
        <v>33</v>
      </c>
      <c r="T17" s="21">
        <v>103</v>
      </c>
      <c r="U17" s="21">
        <v>1501</v>
      </c>
      <c r="V17" s="21">
        <v>1637</v>
      </c>
      <c r="W17" s="21">
        <v>114</v>
      </c>
      <c r="X17" s="21">
        <v>104</v>
      </c>
      <c r="Y17" s="24">
        <v>67.900000000000006</v>
      </c>
      <c r="Z17" s="20">
        <v>91</v>
      </c>
      <c r="AA17" s="20">
        <v>42</v>
      </c>
      <c r="AB17" s="20">
        <v>57</v>
      </c>
      <c r="AC17" s="20">
        <v>12</v>
      </c>
    </row>
    <row r="18" spans="1:29" s="20" customFormat="1" ht="20.25" x14ac:dyDescent="0.2">
      <c r="A18" s="21">
        <v>16</v>
      </c>
      <c r="B18" s="21" t="s">
        <v>68</v>
      </c>
      <c r="C18" s="21" t="s">
        <v>84</v>
      </c>
      <c r="D18" s="21">
        <v>8</v>
      </c>
      <c r="E18" s="21">
        <v>9</v>
      </c>
      <c r="F18" s="21">
        <v>118</v>
      </c>
      <c r="G18" s="21">
        <v>1101</v>
      </c>
      <c r="H18" s="21">
        <v>795</v>
      </c>
      <c r="I18" s="21">
        <v>36</v>
      </c>
      <c r="J18" s="21">
        <v>458</v>
      </c>
      <c r="K18" s="21">
        <v>2014</v>
      </c>
      <c r="L18" s="21">
        <v>2508</v>
      </c>
      <c r="M18" s="21">
        <v>0</v>
      </c>
      <c r="N18" s="21">
        <f>Table3[[#This Row],[ارزیابی کلان‌شهرها  ]]+Table3[[#This Row],[ارزیابی شهر و روستا  ]]</f>
        <v>2508</v>
      </c>
      <c r="O18" s="21">
        <f>Table3[[#This Row],[اعتبار تعمیری (میلیون ریال)  ]]+Table3[[#This Row],[اعتبار احداثی (میلیون ریال)  ]]</f>
        <v>5734400</v>
      </c>
      <c r="P18" s="21">
        <v>811000</v>
      </c>
      <c r="Q18" s="21">
        <v>4923400</v>
      </c>
      <c r="R18" s="21">
        <v>8</v>
      </c>
      <c r="S18" s="21">
        <v>43</v>
      </c>
      <c r="T18" s="21">
        <v>1071</v>
      </c>
      <c r="U18" s="21">
        <v>789</v>
      </c>
      <c r="V18" s="21">
        <v>1903</v>
      </c>
      <c r="W18" s="21">
        <v>83</v>
      </c>
      <c r="X18" s="21">
        <v>78</v>
      </c>
      <c r="Y18" s="24">
        <v>48.2</v>
      </c>
      <c r="Z18" s="20">
        <v>36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84</v>
      </c>
      <c r="D19" s="21">
        <v>18</v>
      </c>
      <c r="E19" s="21">
        <v>31</v>
      </c>
      <c r="F19" s="21">
        <v>557</v>
      </c>
      <c r="G19" s="21">
        <v>4178</v>
      </c>
      <c r="H19" s="21">
        <v>5526</v>
      </c>
      <c r="I19" s="21">
        <v>141</v>
      </c>
      <c r="J19" s="21">
        <v>2720</v>
      </c>
      <c r="K19" s="21">
        <v>10225</v>
      </c>
      <c r="L19" s="21">
        <v>13122</v>
      </c>
      <c r="M19" s="21">
        <v>0</v>
      </c>
      <c r="N19" s="21">
        <f>Table3[[#This Row],[ارزیابی کلان‌شهرها  ]]+Table3[[#This Row],[ارزیابی شهر و روستا  ]]</f>
        <v>13122</v>
      </c>
      <c r="O19" s="21">
        <f>Table3[[#This Row],[اعتبار تعمیری (میلیون ریال)  ]]+Table3[[#This Row],[اعتبار احداثی (میلیون ریال)  ]]</f>
        <v>25449400</v>
      </c>
      <c r="P19" s="21">
        <v>3400400</v>
      </c>
      <c r="Q19" s="21">
        <v>22049000</v>
      </c>
      <c r="R19" s="21">
        <v>0</v>
      </c>
      <c r="S19" s="21">
        <v>312</v>
      </c>
      <c r="T19" s="21">
        <v>1884</v>
      </c>
      <c r="U19" s="21">
        <v>5500</v>
      </c>
      <c r="V19" s="21">
        <v>7696</v>
      </c>
      <c r="W19" s="21">
        <v>530</v>
      </c>
      <c r="X19" s="21">
        <v>412</v>
      </c>
      <c r="Y19" s="24">
        <v>180.4</v>
      </c>
      <c r="Z19" s="20">
        <v>141</v>
      </c>
      <c r="AA19" s="20">
        <v>78</v>
      </c>
      <c r="AB19" s="20">
        <v>139</v>
      </c>
      <c r="AC19" s="20">
        <v>36</v>
      </c>
    </row>
    <row r="20" spans="1:29" s="20" customFormat="1" ht="20.25" x14ac:dyDescent="0.2">
      <c r="A20" s="21">
        <v>18</v>
      </c>
      <c r="B20" s="21" t="s">
        <v>70</v>
      </c>
      <c r="C20" s="21" t="s">
        <v>84</v>
      </c>
      <c r="D20" s="21">
        <v>2</v>
      </c>
      <c r="E20" s="21">
        <v>0</v>
      </c>
      <c r="F20" s="21">
        <v>3</v>
      </c>
      <c r="G20" s="21">
        <v>126</v>
      </c>
      <c r="H20" s="21">
        <v>71</v>
      </c>
      <c r="I20" s="21">
        <v>0</v>
      </c>
      <c r="J20" s="21">
        <v>24</v>
      </c>
      <c r="K20" s="21">
        <v>200</v>
      </c>
      <c r="L20" s="21">
        <v>224</v>
      </c>
      <c r="M20" s="21">
        <v>0</v>
      </c>
      <c r="N20" s="21">
        <f>Table3[[#This Row],[ارزیابی کلان‌شهرها  ]]+Table3[[#This Row],[ارزیابی شهر و روستا  ]]</f>
        <v>224</v>
      </c>
      <c r="O20" s="21">
        <f>Table3[[#This Row],[اعتبار تعمیری (میلیون ریال)  ]]+Table3[[#This Row],[اعتبار احداثی (میلیون ریال)  ]]</f>
        <v>544300</v>
      </c>
      <c r="P20" s="21">
        <v>0</v>
      </c>
      <c r="Q20" s="21">
        <v>544300</v>
      </c>
      <c r="R20" s="21">
        <v>0</v>
      </c>
      <c r="S20" s="21">
        <v>1</v>
      </c>
      <c r="T20" s="21">
        <v>80</v>
      </c>
      <c r="U20" s="21">
        <v>37</v>
      </c>
      <c r="V20" s="21">
        <v>118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84</v>
      </c>
      <c r="D21" s="21">
        <v>2</v>
      </c>
      <c r="E21" s="21">
        <v>2</v>
      </c>
      <c r="F21" s="21">
        <v>4</v>
      </c>
      <c r="G21" s="21">
        <v>19</v>
      </c>
      <c r="H21" s="21">
        <v>7</v>
      </c>
      <c r="I21" s="21">
        <v>0</v>
      </c>
      <c r="J21" s="21">
        <v>19</v>
      </c>
      <c r="K21" s="21">
        <v>30</v>
      </c>
      <c r="L21" s="21">
        <v>49</v>
      </c>
      <c r="M21" s="21">
        <v>0</v>
      </c>
      <c r="N21" s="21">
        <f>Table3[[#This Row],[ارزیابی کلان‌شهرها  ]]+Table3[[#This Row],[ارزیابی شهر و روستا  ]]</f>
        <v>49</v>
      </c>
      <c r="O21" s="21">
        <f>Table3[[#This Row],[اعتبار تعمیری (میلیون ریال)  ]]+Table3[[#This Row],[اعتبار احداثی (میلیون ریال)  ]]</f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84</v>
      </c>
      <c r="D22" s="21">
        <v>3</v>
      </c>
      <c r="E22" s="21">
        <v>0</v>
      </c>
      <c r="F22" s="21">
        <v>0</v>
      </c>
      <c r="G22" s="21">
        <v>63</v>
      </c>
      <c r="H22" s="21">
        <v>562</v>
      </c>
      <c r="I22" s="21">
        <v>3</v>
      </c>
      <c r="J22" s="21">
        <v>14</v>
      </c>
      <c r="K22" s="21">
        <v>625</v>
      </c>
      <c r="L22" s="21">
        <v>642</v>
      </c>
      <c r="M22" s="21">
        <v>0</v>
      </c>
      <c r="N22" s="21">
        <f>Table3[[#This Row],[ارزیابی کلان‌شهرها  ]]+Table3[[#This Row],[ارزیابی شهر و روستا  ]]</f>
        <v>642</v>
      </c>
      <c r="O22" s="21">
        <f>Table3[[#This Row],[اعتبار تعمیری (میلیون ریال)  ]]+Table3[[#This Row],[اعتبار احداثی (میلیون ریال)  ]]</f>
        <v>532900</v>
      </c>
      <c r="P22" s="21">
        <v>21600</v>
      </c>
      <c r="Q22" s="21">
        <v>511300</v>
      </c>
      <c r="R22" s="21">
        <v>0</v>
      </c>
      <c r="S22" s="21">
        <v>3</v>
      </c>
      <c r="T22" s="21">
        <v>66</v>
      </c>
      <c r="U22" s="21">
        <v>295</v>
      </c>
      <c r="V22" s="21">
        <v>364</v>
      </c>
      <c r="W22" s="21">
        <v>0</v>
      </c>
      <c r="X22" s="21">
        <v>0</v>
      </c>
      <c r="Y22" s="24">
        <v>0</v>
      </c>
      <c r="Z22" s="20">
        <v>3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84</v>
      </c>
      <c r="D23" s="21">
        <v>0</v>
      </c>
      <c r="E23" s="21">
        <v>1</v>
      </c>
      <c r="F23" s="21">
        <v>2</v>
      </c>
      <c r="G23" s="21">
        <v>5</v>
      </c>
      <c r="H23" s="21">
        <v>77</v>
      </c>
      <c r="I23" s="21">
        <v>4</v>
      </c>
      <c r="J23" s="21">
        <v>25</v>
      </c>
      <c r="K23" s="21">
        <v>84</v>
      </c>
      <c r="L23" s="21">
        <v>113</v>
      </c>
      <c r="M23" s="21">
        <v>0</v>
      </c>
      <c r="N23" s="21">
        <f>Table3[[#This Row],[ارزیابی کلان‌شهرها  ]]+Table3[[#This Row],[ارزیابی شهر و روستا  ]]</f>
        <v>113</v>
      </c>
      <c r="O23" s="21">
        <f>Table3[[#This Row],[اعتبار تعمیری (میلیون ریال)  ]]+Table3[[#This Row],[اعتبار احداثی (میلیون ریال)  ]]</f>
        <v>174300</v>
      </c>
      <c r="P23" s="21">
        <v>100000</v>
      </c>
      <c r="Q23" s="21">
        <v>74300</v>
      </c>
      <c r="R23" s="21">
        <v>4</v>
      </c>
      <c r="S23" s="21">
        <v>4</v>
      </c>
      <c r="T23" s="21">
        <v>6</v>
      </c>
      <c r="U23" s="21">
        <v>49</v>
      </c>
      <c r="V23" s="21"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1</v>
      </c>
    </row>
    <row r="24" spans="1:29" s="20" customFormat="1" ht="20.25" x14ac:dyDescent="0.2">
      <c r="A24" s="21">
        <v>22</v>
      </c>
      <c r="B24" s="21" t="s">
        <v>73</v>
      </c>
      <c r="C24" s="21" t="s">
        <v>84</v>
      </c>
      <c r="D24" s="21">
        <v>1</v>
      </c>
      <c r="E24" s="21">
        <v>2</v>
      </c>
      <c r="F24" s="21">
        <v>6</v>
      </c>
      <c r="G24" s="21">
        <v>17</v>
      </c>
      <c r="H24" s="21">
        <v>115</v>
      </c>
      <c r="I24" s="21">
        <v>9</v>
      </c>
      <c r="J24" s="21">
        <v>18</v>
      </c>
      <c r="K24" s="21">
        <v>138</v>
      </c>
      <c r="L24" s="21">
        <v>165</v>
      </c>
      <c r="M24" s="21">
        <v>0</v>
      </c>
      <c r="N24" s="21">
        <f>Table3[[#This Row],[ارزیابی کلان‌شهرها  ]]+Table3[[#This Row],[ارزیابی شهر و روستا  ]]</f>
        <v>165</v>
      </c>
      <c r="O24" s="21">
        <f>Table3[[#This Row],[اعتبار تعمیری (میلیون ریال)  ]]+Table3[[#This Row],[اعتبار احداثی (میلیون ریال)  ]]</f>
        <v>399700</v>
      </c>
      <c r="P24" s="21">
        <v>225000</v>
      </c>
      <c r="Q24" s="21">
        <v>174700</v>
      </c>
      <c r="R24" s="21">
        <v>9</v>
      </c>
      <c r="S24" s="21">
        <v>3</v>
      </c>
      <c r="T24" s="21">
        <v>15</v>
      </c>
      <c r="U24" s="21">
        <v>85</v>
      </c>
      <c r="V24" s="21">
        <v>103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4</v>
      </c>
    </row>
    <row r="25" spans="1:29" s="20" customFormat="1" ht="20.25" x14ac:dyDescent="0.2">
      <c r="A25" s="21">
        <v>23</v>
      </c>
      <c r="B25" s="21" t="s">
        <v>74</v>
      </c>
      <c r="C25" s="21" t="s">
        <v>84</v>
      </c>
      <c r="D25" s="21">
        <v>8</v>
      </c>
      <c r="E25" s="21">
        <v>9</v>
      </c>
      <c r="F25" s="21">
        <v>41</v>
      </c>
      <c r="G25" s="21">
        <v>143</v>
      </c>
      <c r="H25" s="21">
        <v>625</v>
      </c>
      <c r="I25" s="21">
        <v>42</v>
      </c>
      <c r="J25" s="21">
        <v>274</v>
      </c>
      <c r="K25" s="21">
        <v>749</v>
      </c>
      <c r="L25" s="21">
        <v>1125</v>
      </c>
      <c r="M25" s="21">
        <v>0</v>
      </c>
      <c r="N25" s="21">
        <f>Table3[[#This Row],[ارزیابی کلان‌شهرها  ]]+Table3[[#This Row],[ارزیابی شهر و روستا  ]]</f>
        <v>1125</v>
      </c>
      <c r="O25" s="21">
        <f>Table3[[#This Row],[اعتبار تعمیری (میلیون ریال)  ]]+Table3[[#This Row],[اعتبار احداثی (میلیون ریال)  ]]</f>
        <v>2113800</v>
      </c>
      <c r="P25" s="21">
        <v>978800</v>
      </c>
      <c r="Q25" s="21">
        <v>1135000</v>
      </c>
      <c r="R25" s="21">
        <v>18</v>
      </c>
      <c r="S25" s="21">
        <v>1</v>
      </c>
      <c r="T25" s="21">
        <v>10</v>
      </c>
      <c r="U25" s="21">
        <v>175</v>
      </c>
      <c r="V25" s="21">
        <v>186</v>
      </c>
      <c r="W25" s="21">
        <v>437</v>
      </c>
      <c r="X25" s="21">
        <v>298</v>
      </c>
      <c r="Y25" s="24">
        <v>208.1</v>
      </c>
      <c r="Z25" s="20">
        <v>140</v>
      </c>
      <c r="AA25" s="20">
        <v>124</v>
      </c>
      <c r="AB25" s="20">
        <v>140</v>
      </c>
      <c r="AC25" s="20">
        <v>114</v>
      </c>
    </row>
    <row r="26" spans="1:29" s="20" customFormat="1" ht="20.25" x14ac:dyDescent="0.2">
      <c r="A26" s="21">
        <v>24</v>
      </c>
      <c r="B26" s="21" t="s">
        <v>75</v>
      </c>
      <c r="C26" s="21" t="s">
        <v>84</v>
      </c>
      <c r="D26" s="21">
        <v>1</v>
      </c>
      <c r="E26" s="21">
        <v>0</v>
      </c>
      <c r="F26" s="21">
        <v>25</v>
      </c>
      <c r="G26" s="21">
        <v>51</v>
      </c>
      <c r="H26" s="21">
        <v>248</v>
      </c>
      <c r="I26" s="21">
        <v>2</v>
      </c>
      <c r="J26" s="21">
        <v>105</v>
      </c>
      <c r="K26" s="21">
        <v>324</v>
      </c>
      <c r="L26" s="21">
        <v>431</v>
      </c>
      <c r="M26" s="21">
        <v>0</v>
      </c>
      <c r="N26" s="21">
        <f>Table3[[#This Row],[ارزیابی کلان‌شهرها  ]]+Table3[[#This Row],[ارزیابی شهر و روستا  ]]</f>
        <v>431</v>
      </c>
      <c r="O26" s="21">
        <f>Table3[[#This Row],[اعتبار تعمیری (میلیون ریال)  ]]+Table3[[#This Row],[اعتبار احداثی (میلیون ریال)  ]]</f>
        <v>535300</v>
      </c>
      <c r="P26" s="21">
        <v>32200</v>
      </c>
      <c r="Q26" s="21">
        <v>503100</v>
      </c>
      <c r="R26" s="21">
        <v>1</v>
      </c>
      <c r="S26" s="21">
        <v>16</v>
      </c>
      <c r="T26" s="21">
        <v>23</v>
      </c>
      <c r="U26" s="21">
        <v>120</v>
      </c>
      <c r="V26" s="21">
        <v>159</v>
      </c>
      <c r="W26" s="21">
        <v>8</v>
      </c>
      <c r="X26" s="21">
        <v>5</v>
      </c>
      <c r="Y26" s="24">
        <v>2.9</v>
      </c>
      <c r="Z26" s="20">
        <v>2</v>
      </c>
      <c r="AA26" s="20">
        <v>0</v>
      </c>
      <c r="AB26" s="20">
        <v>2</v>
      </c>
      <c r="AC26" s="20">
        <v>0</v>
      </c>
    </row>
    <row r="27" spans="1:29" s="13" customFormat="1" ht="20.25" x14ac:dyDescent="0.2">
      <c r="A27" s="20"/>
      <c r="B27" s="21"/>
      <c r="C27" s="20"/>
      <c r="D27" s="21">
        <f>D26+D25+D24+D23+D22+D21+D20+D19+D18+D17+D16+D15+D14+D13+D12+D11+D10+D9+D8+D7+D6+D5+D4+D3</f>
        <v>222</v>
      </c>
      <c r="E27" s="21">
        <f>E26+E25+E24+E23+E22+E21+E20+E19+E18+E17+E16+E15+E14+E13+E12+E11+E10+E9+E8+E7+E6+E5+E4+E3</f>
        <v>185</v>
      </c>
      <c r="F27" s="20"/>
      <c r="G27" s="20"/>
      <c r="H27" s="20"/>
      <c r="I27" s="20"/>
      <c r="J27" s="20"/>
      <c r="K27" s="20"/>
      <c r="L27" s="20"/>
      <c r="M27" s="20"/>
      <c r="N27" s="20"/>
      <c r="O27" s="21"/>
      <c r="P27" s="20"/>
      <c r="Q27" s="20"/>
      <c r="R27" s="21"/>
      <c r="S27" s="21"/>
      <c r="T27" s="21"/>
      <c r="U27" s="21"/>
      <c r="V27" s="21"/>
      <c r="W27" s="25"/>
      <c r="X27" s="25"/>
      <c r="Y27" s="25"/>
      <c r="Z27" s="25"/>
      <c r="AA27" s="25"/>
      <c r="AB27" s="25"/>
      <c r="AC27" s="25"/>
    </row>
    <row r="28" spans="1:29" x14ac:dyDescent="0.2">
      <c r="Q28" s="19"/>
      <c r="R28" s="19"/>
      <c r="U28" s="19"/>
    </row>
    <row r="29" spans="1:29" x14ac:dyDescent="0.2">
      <c r="R29" s="19"/>
    </row>
  </sheetData>
  <phoneticPr fontId="19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Asus</cp:lastModifiedBy>
  <dcterms:created xsi:type="dcterms:W3CDTF">2026-05-12T19:05:27Z</dcterms:created>
  <dcterms:modified xsi:type="dcterms:W3CDTF">2026-08-10T12:08:23Z</dcterms:modified>
</cp:coreProperties>
</file>