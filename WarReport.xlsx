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 Asgari\Downloads\"/>
    </mc:Choice>
  </mc:AlternateContent>
  <xr:revisionPtr revIDLastSave="0" documentId="13_ncr:1_{40ACB0B9-AF05-4B60-9679-C2B0DAF3AA17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9" l="1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L11" i="9"/>
  <c r="N11" i="9" s="1"/>
  <c r="L12" i="9"/>
  <c r="N12" i="9" s="1"/>
  <c r="L13" i="9"/>
  <c r="N13" i="9" s="1"/>
  <c r="L14" i="9"/>
  <c r="N14" i="9" s="1"/>
  <c r="L15" i="9"/>
  <c r="N15" i="9" s="1"/>
  <c r="L16" i="9"/>
  <c r="N16" i="9" s="1"/>
  <c r="L17" i="9"/>
  <c r="N17" i="9" s="1"/>
  <c r="L18" i="9"/>
  <c r="N18" i="9" s="1"/>
  <c r="L19" i="9"/>
  <c r="N19" i="9" s="1"/>
  <c r="L20" i="9"/>
  <c r="N20" i="9" s="1"/>
  <c r="L21" i="9"/>
  <c r="N21" i="9" s="1"/>
  <c r="L22" i="9"/>
  <c r="N22" i="9" s="1"/>
  <c r="L23" i="9"/>
  <c r="N23" i="9" s="1"/>
  <c r="L24" i="9"/>
  <c r="N24" i="9" s="1"/>
  <c r="L25" i="9"/>
  <c r="N25" i="9" s="1"/>
  <c r="L26" i="9"/>
  <c r="N26" i="9" s="1"/>
  <c r="L4" i="9"/>
  <c r="N4" i="9" s="1"/>
  <c r="L5" i="9"/>
  <c r="N5" i="9" s="1"/>
  <c r="L6" i="9"/>
  <c r="N6" i="9" s="1"/>
  <c r="L7" i="9"/>
  <c r="N7" i="9" s="1"/>
  <c r="L8" i="9"/>
  <c r="N8" i="9" s="1"/>
  <c r="L9" i="9"/>
  <c r="N9" i="9" s="1"/>
  <c r="L10" i="9"/>
  <c r="N10" i="9" s="1"/>
  <c r="L3" i="9"/>
  <c r="N3" i="9" s="1"/>
  <c r="N27" i="9" l="1"/>
  <c r="F27" i="9"/>
  <c r="G27" i="9"/>
  <c r="H27" i="9"/>
  <c r="I27" i="9"/>
  <c r="J27" i="9"/>
  <c r="K27" i="9"/>
  <c r="Y27" i="9"/>
  <c r="W27" i="9"/>
  <c r="V4" i="9" l="1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3" i="9"/>
  <c r="V2" i="9"/>
  <c r="T27" i="9"/>
  <c r="U27" i="9"/>
  <c r="X27" i="9"/>
  <c r="Z27" i="9"/>
  <c r="AA27" i="9"/>
  <c r="AB27" i="9"/>
  <c r="AC27" i="9"/>
  <c r="S27" i="9"/>
  <c r="R27" i="9"/>
  <c r="Q27" i="9"/>
  <c r="P27" i="9"/>
  <c r="O27" i="9"/>
  <c r="M27" i="9" l="1"/>
  <c r="V27" i="9"/>
  <c r="B11" i="7" a="1"/>
  <c r="B9" i="7" a="1"/>
  <c r="B21" i="7" a="1"/>
  <c r="B17" i="7" a="1"/>
  <c r="B20" i="7" a="1"/>
  <c r="B8" i="7" a="1"/>
  <c r="B4" i="7" a="1"/>
  <c r="B5" i="7" a="1"/>
  <c r="B12" i="7" a="1"/>
  <c r="B23" i="7" a="1"/>
  <c r="B22" i="7" a="1"/>
  <c r="B10" i="7" a="1"/>
  <c r="B19" i="7" a="1"/>
  <c r="B25" i="7" a="1"/>
  <c r="B2" i="7" a="1"/>
  <c r="B14" i="7" a="1"/>
  <c r="B24" i="7" a="1"/>
  <c r="B6" i="7" a="1"/>
  <c r="B18" i="7" a="1"/>
  <c r="B15" i="7" a="1"/>
  <c r="B7" i="7" a="1"/>
  <c r="B16" i="7" a="1"/>
  <c r="L27" i="9" l="1"/>
  <c r="B25" i="7"/>
  <c r="B24" i="7"/>
  <c r="B23" i="7"/>
  <c r="B22" i="7"/>
  <c r="B21" i="7"/>
  <c r="B20" i="7"/>
  <c r="B19" i="7"/>
  <c r="B18" i="7"/>
  <c r="B17" i="7"/>
  <c r="B16" i="7"/>
  <c r="B15" i="7"/>
  <c r="B14" i="7"/>
  <c r="B12" i="7"/>
  <c r="B11" i="7"/>
  <c r="B10" i="7"/>
  <c r="B9" i="7"/>
  <c r="B8" i="7"/>
  <c r="B7" i="7"/>
  <c r="B6" i="7"/>
  <c r="B5" i="7"/>
  <c r="B4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<sst xmlns="http://schemas.openxmlformats.org/spreadsheetml/2006/main" count="112" uniqueCount="85">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</sst>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7" totalsRowCount="1" headerRowDxfId="65" dataDxfId="63" totalsRowDxfId="62" headerRowBorderDxfId="64">
  <autoFilter ref="A1:AC26" xr:uid="{6E6717F1-F1A4-4F16-8044-A9875CFC245B}"/>
  <tableColumns count="29">
    <tableColumn id="1" xr3:uid="{2FB7AC62-7D8B-48CA-88D0-FDD3661FEABF}" name="ردیف" dataDxfId="61" totalsRowDxfId="28"/>
    <tableColumn id="3" xr3:uid="{AB87C0B4-9201-4F40-A792-90EC502B5EA6}" name="نام استان" dataDxfId="60" totalsRowDxfId="27"/>
    <tableColumn id="2" xr3:uid="{53A50CBC-5B42-4ACA-A29E-D0A5E8A55E8C}" name="تاریخ گزارش" dataDxfId="59" totalsRowDxfId="26"/>
    <tableColumn id="29" xr3:uid="{C81548B6-C49B-4433-B040-1475500B0B58}" name="شهرهای آسسیب دیده" dataDxfId="58" totalsRowDxfId="25"/>
    <tableColumn id="30" xr3:uid="{2C2C7158-B8DA-42F1-82E1-1665232057AD}" name=" روستا های آسیب دیده" dataDxfId="57" totalsRowDxfId="24"/>
    <tableColumn id="4" xr3:uid="{285A0E2C-29D4-497F-A5A1-1C6B648FA22E}" name="تعمیری  نوع 1" totalsRowFunction="custom" dataDxfId="56" totalsRowDxfId="23">
      <totalsRowFormula>F26+F25+F24+F23+F22+F21+F20+F19+F18+F17+F16+F15+F14+F13+F12+F11+F10+F9+F8+F7+F6+F5+F4+F3</totalsRowFormula>
    </tableColumn>
    <tableColumn id="5" xr3:uid="{68D05F15-A8E3-42A6-96BA-D51FB2C880DF}" name="تعمیری  نوع 2" totalsRowFunction="custom" dataDxfId="55" totalsRowDxfId="22">
      <totalsRowFormula>G26+G25+G24+G23+G22+G21+G20+G19+G18+G17+G16+G15+G14+G13+G12+G11+G10+G9+G8+G7+G6+G5+G4+G3</totalsRowFormula>
    </tableColumn>
    <tableColumn id="6" xr3:uid="{5551C4E8-1CC0-4497-8372-5A189BFD1B69}" name="تعمیری  نوع 3" totalsRowFunction="custom" dataDxfId="54" totalsRowDxfId="21">
      <totalsRowFormula>H26+H25+H24+H23+H22+H21+H20+H19+H18+H17+H16+H15+H14+H13+H12+H11+H10+H9+H8+H7+H6+H5+H4+H3</totalsRowFormula>
    </tableColumn>
    <tableColumn id="7" xr3:uid="{6B1711B3-92F0-4ECF-BDCD-63B5F43FCA25}" name="احداثی  " totalsRowFunction="custom" dataDxfId="53" totalsRowDxfId="20">
      <totalsRowFormula>I26+I25+I24+I23+I22+I21+I20+I19+I18+I17+I16+I15+I14+I13+I12+I11+I10+I9+I8+I7+I6+I5+I4+I3</totalsRowFormula>
    </tableColumn>
    <tableColumn id="8" xr3:uid="{6C89D5A0-F55B-4A21-B902-2CF2ADB623B1}" name="معیشتی  " totalsRowFunction="custom" dataDxfId="52" totalsRowDxfId="19">
      <totalsRowFormula>J26+J25+J24+J23+J22+J21+J20+J19+J18+J17+J16+J15+J14+J13+J12+J11+J10+J9+J8+J7+J6+J5+J4+J3</totalsRowFormula>
    </tableColumn>
    <tableColumn id="9" xr3:uid="{C93A1B6A-26AC-4936-BD1D-CCE0243EAA14}" name="جمع تعمیری  " totalsRowFunction="custom" dataDxfId="51" totalsRowDxfId="18">
      <totalsRowFormula>K26+K25+K24+K23+K22+K21+K20+K19+K18+K17+K16+K15+K14+K13+K12+K11+K10+K9+K8+K7+K6+K5+K4+K3</totalsRowFormula>
    </tableColumn>
    <tableColumn id="10" xr3:uid="{1C759F9A-FFDE-46C8-A5E4-89D64D477D40}" name="ارزیابی شهر و روستا  " totalsRowFunction="custom" dataDxfId="50" totalsRowDxfId="17">
      <calculatedColumnFormula>Table3[[#This Row],[جمع تعمیری  ]]+Table3[[#This Row],[معیشتی  ]]+Table3[[#This Row],[احداثی  ]]</calculatedColumnFormula>
      <totalsRowFormula>L26+L25+L24+L23+L22+L21+L20+L19+L18+L17+L16+L15+L14+L13+L12+L11+L10+L9+L8+L7+L6+L5+L4+L3</totalsRowFormula>
    </tableColumn>
    <tableColumn id="11" xr3:uid="{BB3B2BF7-ED5A-4EE5-933D-D978D8F39C3D}" name="ارزیابی کلان‌شهرها  " totalsRowFunction="custom" dataDxfId="49" totalsRowDxfId="16">
      <calculatedColumnFormula>Table3[[#This Row],[تعمیری  نوع 1]]+Table3[[#This Row],[تعمیری  نوع 2]]+Table3[[#This Row],[تعمیری  نوع 3]]+Table3[[#This Row],[احداثی  ]]+Table3[[#This Row],[معیشتی  ]]</calculatedColumnFormula>
      <totalsRowFormula>M26+M25+M24+M23+M22+M21+M20+M19+M18+M17+M16+M15+M14+M13+M12+M11+M10+M9+M8+M7+M6+M5+M4+M3</totalsRowFormula>
    </tableColumn>
    <tableColumn id="12" xr3:uid="{2DFF159E-BDDE-4DB3-AB38-B229E4212AAC}" name="ارزیابی کل  " totalsRowFunction="custom" dataDxfId="48" totalsRowDxfId="15">
      <calculatedColumnFormula>Table3[[#This Row],[ارزیابی شهر و روستا  ]]-Table3[[#This Row],[جمع تعمیری  ]]</calculatedColumnFormula>
      <totalsRowFormula>N26+N25+N24+N23+N22+N21+N20+N19+N18+N17+N16+N15+N14+N13+N12+N11+N10+N9+N8+N7+N6+N5+N4+N3</totalsRowFormula>
    </tableColumn>
    <tableColumn id="13" xr3:uid="{9A8A9A70-BFEB-4E94-9D46-4A2892405B42}" name="کل اعتبار مورد نیاز  (میلیون ریال)  " totalsRowFunction="custom" dataDxfId="47" totalsRowDxfId="14">
      <calculatedColumnFormula>Table3[[#This Row],[اعتبار تعمیری (میلیون ریال)  ]]+Table3[[#This Row],[اعتبار احداثی (میلیون ریال)  ]]</calculatedColumnFormula>
      <totalsRowFormula>O26+O25+O24+O23+O22+O21+O20+O19+O18+O17+O16+O15+O14+O13+O12+O11+O10+O9+O8+O7+O6+O5+O4+O3</totalsRowFormula>
    </tableColumn>
    <tableColumn id="14" xr3:uid="{701ED0B6-FC32-4178-BF8F-1CFF1647EA3D}" name="اعتبار احداثی (میلیون ریال)  " totalsRowFunction="custom" dataDxfId="46" totalsRowDxfId="13">
      <totalsRowFormula>P26+P25+P24+P23+P22+P21+P20+P19+P18+P17+P16+P15+P14+P13+P12+P11+P10+P9+P8+P7+P6+P5+P4+P3</totalsRowFormula>
    </tableColumn>
    <tableColumn id="15" xr3:uid="{8FA9E6EB-FB60-4BDE-91B1-02D442E848D8}" name="اعتبار تعمیری (میلیون ریال)  " totalsRowFunction="custom" dataDxfId="45" totalsRowDxfId="12">
      <totalsRowFormula>Q26+Q25+Q24+Q23+Q22+Q21+Q20+Q19+Q18+Q17+Q16+Q15+Q14+Q13+Q12+Q11+Q10+Q9+Q8+Q7+Q6+Q5+Q4+Q3</totalsRowFormula>
    </tableColumn>
    <tableColumn id="16" xr3:uid="{2D320D05-15FC-4552-8816-11C0EABC7510}" name="آواربرداری " totalsRowFunction="custom" dataDxfId="44" totalsRowDxfId="11">
      <totalsRowFormula>R26+R25+R24+R23+R22+R21+R20+R19+R18+R17+R16+R15+R14+R13+R12+R11+R10+R9+R8+R7+R6+R5+R4+R3</totalsRowFormula>
    </tableColumn>
    <tableColumn id="18" xr3:uid="{A6A367B0-5877-4C4D-84A1-46F620BB5F2D}" name="تعمیرات نوع 1" totalsRowFunction="custom" dataDxfId="43" totalsRowDxfId="10">
      <totalsRowFormula>S26+S25+S24+S23+S22+S21+S20+S19+S18+S17+S16+S15+S14+S13+S12+S11+S10+S9+S8+S7+S6+S5+S4+S3</totalsRowFormula>
    </tableColumn>
    <tableColumn id="19" xr3:uid="{C87F0913-9A88-4382-AF17-1BDD17C792DC}" name="تعمیرات نوع 2  " totalsRowFunction="custom" dataDxfId="42" totalsRowDxfId="9">
      <totalsRowFormula>T26+T25+T24+T23+T22+T21+T20+T19+T18+T17+T16+T15+T14+T13+T12+T11+T10+T9+T8+T7+T6+T5+T4+T3</totalsRowFormula>
    </tableColumn>
    <tableColumn id="20" xr3:uid="{79BC17B2-D487-4CF3-89C1-3129A9B5ACAE}" name="تعمیرات نوع 3  " totalsRowFunction="custom" dataDxfId="41" totalsRowDxfId="8">
      <totalsRowFormula>U26+U25+U24+U23+U22+U21+U20+U19+U18+U17+U16+U15+U14+U13+U12+U11+U10+U9+U8+U7+U6+U5+U4+U3</totalsRowFormula>
    </tableColumn>
    <tableColumn id="21" xr3:uid="{E860E4F9-435F-403A-99DC-4F09B4E8794B}" name="کل تعمیری  " totalsRowFunction="custom" dataDxfId="40" totalsRowDxfId="7">
      <totalsRowFormula>V26+V25+V24+V23+V22+V21+V20+V19+V18+V17+V16+V15+V14+V13+V12+V11+V10+V9+V8+V7+V6+V5+V4+V3</totalsRowFormula>
    </tableColumn>
    <tableColumn id="22" xr3:uid="{47EB2854-6047-467B-BA16-506DBA14E507}" name="معرفی به سامانه  " totalsRowFunction="custom" dataDxfId="39" totalsRowDxfId="6">
      <totalsRowFormula>W26+W25+W24+W23+W21++W22+W20+W19+W18+W17+W16+W15+W14+W13+W12+W11+W10+W9+W8+W8+W7+W6+W5+W4+W3</totalsRowFormula>
    </tableColumn>
    <tableColumn id="23" xr3:uid="{0ED34F35-9434-4F5B-ACFB-80A7458F3977}" name="تعداد تسهیلات پرداختی  " totalsRowFunction="custom" dataDxfId="38" totalsRowDxfId="5">
      <totalsRowFormula>X26+X25+X24+X23+X22+X21+X20+X19+X18+X17+X16+X15+X14+X13+X12+X11+X10+X9+X8+X7+X6+X5+X4+X3</totalsRowFormula>
    </tableColumn>
    <tableColumn id="24" xr3:uid="{DCD79A9D-DE2F-425C-8599-D196FBDB4566}" name="تسهیلات پرداختی (میلیارد تومان)  " totalsRowFunction="custom" dataDxfId="37" totalsRowDxfId="4">
      <totalsRowFormula>Y26+Y25+Y24+Y23+Y22+Y21+Y20+Y19+Y18+Y17+Y16+Y15+Y14+Y13+Y12+Y11+Y10+Y9+Y8+Y7+Y6+Y5+Y4+Y3</totalsRowFormula>
    </tableColumn>
    <tableColumn id="25" xr3:uid="{01D646E1-811B-48EC-9221-0D5D49EC924F}" name="معرفی به نظام مهندسی" totalsRowFunction="custom" dataDxfId="36" totalsRowDxfId="3">
      <totalsRowFormula>Z26+Z25+Z24+Z23+Z22+Z21+Z20+Z19+Z18+Z17+Z16+Z15+Z14+Z13+Z12+Z11+Z10+Z9+Z8+Z7+Z6+Z5+Z4+Z3</totalsRowFormula>
    </tableColumn>
    <tableColumn id="26" xr3:uid="{7FE23065-0138-4E30-9D70-CF743FFA6B72}" name="نقشه تهیه شده" totalsRowFunction="custom" dataDxfId="35" totalsRowDxfId="2">
      <totalsRowFormula>AA26+AA25+AA24+AA23+AA22+AA21+AA20+AA19+AA18+AA17+AA16+AA15+AA14+AA13+AA12+AA11+AA10+AA9+AA8+AA7+AA6+AA5+AA4+AA3</totalsRowFormula>
    </tableColumn>
    <tableColumn id="27" xr3:uid="{3E7C0D45-B032-430F-B645-0655B239A9A0}" name="معرفی به شهرداری" totalsRowFunction="custom" dataDxfId="34" totalsRowDxfId="1">
      <totalsRowFormula>AB26+AB25+AB24+AB23+AB22+AB21+AB20+AB19+AB18+AB17+AB16+AB15+AB14+AB13+AB12+AB11+AB10+AB9+AB8+AB7+AB6+AB5+AB4+AB3</totalsRowFormula>
    </tableColumn>
    <tableColumn id="28" xr3:uid="{F2B75F71-1A59-4B6E-9195-9D5C9D62F31F}" name="پروانه صادر شده" totalsRowFunction="custom" dataDxfId="33" totalsRowDxfId="0">
      <totalsRowFormula>AC26+AC25+AC24+AC23+AC22+AC21+AC20+AC19+AC18+AC17+AC16+AC15+AC14+AC13+AC12+AC11+AC10+AC9+AC8+AC7+AC6+AC5+AC4+AC3</totalsRowFormula>
    </tableColumn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2" dataDxfId="31">
  <autoFilter ref="A1:B22" xr:uid="{DEE1957F-E1AA-46B9-9BA0-8CD1D8597BC0}"/>
  <tableColumns count="2">
    <tableColumn id="1" xr3:uid="{B5BAE426-C4CE-46D3-9A67-24B0EC98ED44}" name="نام و نام خانوادگی" dataDxfId="30"/>
    <tableColumn id="2" xr3:uid="{72ACDF6A-4EAE-4258-9051-F66922FA3B55}" name="تلفن همراه" dataDxfId="2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M19" sqref="M19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4.375" style="12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215</v>
      </c>
      <c r="E2" s="22">
        <v>185</v>
      </c>
      <c r="F2" s="22">
        <v>5213</v>
      </c>
      <c r="G2" s="22">
        <v>33397</v>
      </c>
      <c r="H2" s="22">
        <v>60474</v>
      </c>
      <c r="I2" s="22">
        <v>1200</v>
      </c>
      <c r="J2" s="22">
        <v>26897</v>
      </c>
      <c r="K2" s="22">
        <v>99084</v>
      </c>
      <c r="L2" s="22">
        <v>133528</v>
      </c>
      <c r="M2" s="22">
        <v>12718</v>
      </c>
      <c r="N2" s="22">
        <v>146246</v>
      </c>
      <c r="O2" s="22">
        <v>216455100</v>
      </c>
      <c r="P2" s="22">
        <v>26119600</v>
      </c>
      <c r="Q2" s="22">
        <v>190335500</v>
      </c>
      <c r="R2" s="22">
        <v>477</v>
      </c>
      <c r="S2" s="22">
        <v>1725</v>
      </c>
      <c r="T2" s="22">
        <v>14438</v>
      </c>
      <c r="U2" s="22">
        <v>47363</v>
      </c>
      <c r="V2" s="22">
        <f>Table3[[#This Row],[تعمیرات نوع 3  ]]+Table3[[#This Row],[تعمیرات نوع 2  ]]+Table3[[#This Row],[تعمیرات نوع 1]]</f>
        <v>63526</v>
      </c>
      <c r="W2" s="22">
        <v>3487</v>
      </c>
      <c r="X2" s="22">
        <v>3005</v>
      </c>
      <c r="Y2" s="23">
        <v>1688.2</v>
      </c>
      <c r="Z2" s="22">
        <v>1477</v>
      </c>
      <c r="AA2" s="22">
        <v>515</v>
      </c>
      <c r="AB2" s="22">
        <v>1273</v>
      </c>
      <c r="AC2" s="22">
        <v>358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/>
      <c r="E3" s="21"/>
      <c r="F3" s="21">
        <v>139</v>
      </c>
      <c r="G3" s="21">
        <v>1432</v>
      </c>
      <c r="H3" s="21">
        <v>3477</v>
      </c>
      <c r="I3" s="21">
        <v>56</v>
      </c>
      <c r="J3" s="21">
        <v>1023</v>
      </c>
      <c r="K3" s="21">
        <v>5048</v>
      </c>
      <c r="L3" s="21">
        <f>Table3[[#This Row],[جمع تعمیری  ]]+Table3[[#This Row],[معیشتی  ]]+Table3[[#This Row],[احداثی  ]]</f>
        <v>6127</v>
      </c>
      <c r="M3" s="21">
        <f>Table3[[#This Row],[تعمیری  نوع 1]]+Table3[[#This Row],[تعمیری  نوع 2]]+Table3[[#This Row],[تعمیری  نوع 3]]+Table3[[#This Row],[احداثی  ]]+Table3[[#This Row],[معیشتی  ]]</f>
        <v>6127</v>
      </c>
      <c r="N3" s="21">
        <f>Table3[[#This Row],[ارزیابی شهر و روستا  ]]-Table3[[#This Row],[جمع تعمیری  ]]</f>
        <v>1079</v>
      </c>
      <c r="O3" s="21">
        <v>8835800</v>
      </c>
      <c r="P3" s="21">
        <v>1115200</v>
      </c>
      <c r="Q3" s="21">
        <v>7720600</v>
      </c>
      <c r="R3" s="21">
        <v>62</v>
      </c>
      <c r="S3" s="21">
        <v>37</v>
      </c>
      <c r="T3" s="21">
        <v>725</v>
      </c>
      <c r="U3" s="21">
        <v>2658</v>
      </c>
      <c r="V3" s="21">
        <f>Table3[[#This Row],[تعمیرات نوع 3  ]]+Table3[[#This Row],[تعمیرات نوع 2  ]]+Table3[[#This Row],[تعمیرات نوع 1]]</f>
        <v>3420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/>
      <c r="E4" s="21"/>
      <c r="F4" s="21">
        <v>383</v>
      </c>
      <c r="G4" s="21">
        <v>1706</v>
      </c>
      <c r="H4" s="21">
        <v>4447</v>
      </c>
      <c r="I4" s="21">
        <v>38</v>
      </c>
      <c r="J4" s="21">
        <v>1796</v>
      </c>
      <c r="K4" s="21">
        <v>6487</v>
      </c>
      <c r="L4" s="21">
        <f>Table3[[#This Row],[جمع تعمیری  ]]+Table3[[#This Row],[معیشتی  ]]+Table3[[#This Row],[احداثی  ]]</f>
        <v>8321</v>
      </c>
      <c r="M4" s="21">
        <f>Table3[[#This Row],[تعمیری  نوع 1]]+Table3[[#This Row],[تعمیری  نوع 2]]+Table3[[#This Row],[تعمیری  نوع 3]]+Table3[[#This Row],[احداثی  ]]+Table3[[#This Row],[معیشتی  ]]</f>
        <v>8370</v>
      </c>
      <c r="N4" s="21">
        <f>Table3[[#This Row],[ارزیابی شهر و روستا  ]]-Table3[[#This Row],[جمع تعمیری  ]]</f>
        <v>1834</v>
      </c>
      <c r="O4" s="21">
        <v>11999700</v>
      </c>
      <c r="P4" s="21">
        <v>665200</v>
      </c>
      <c r="Q4" s="21">
        <v>11334500</v>
      </c>
      <c r="R4" s="21">
        <v>10</v>
      </c>
      <c r="S4" s="21">
        <v>41</v>
      </c>
      <c r="T4" s="21">
        <v>363</v>
      </c>
      <c r="U4" s="21">
        <v>2859</v>
      </c>
      <c r="V4" s="21">
        <f>Table3[[#This Row],[تعمیرات نوع 3  ]]+Table3[[#This Row],[تعمیرات نوع 2  ]]+Table3[[#This Row],[تعمیرات نوع 1]]</f>
        <v>3263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/>
      <c r="E5" s="21"/>
      <c r="F5" s="21">
        <v>358</v>
      </c>
      <c r="G5" s="21">
        <v>742</v>
      </c>
      <c r="H5" s="21">
        <v>1449</v>
      </c>
      <c r="I5" s="21">
        <v>83</v>
      </c>
      <c r="J5" s="21">
        <v>535</v>
      </c>
      <c r="K5" s="21">
        <v>2553</v>
      </c>
      <c r="L5" s="21">
        <f>Table3[[#This Row],[جمع تعمیری  ]]+Table3[[#This Row],[معیشتی  ]]+Table3[[#This Row],[احداثی  ]]</f>
        <v>3171</v>
      </c>
      <c r="M5" s="21">
        <f>Table3[[#This Row],[تعمیری  نوع 1]]+Table3[[#This Row],[تعمیری  نوع 2]]+Table3[[#This Row],[تعمیری  نوع 3]]+Table3[[#This Row],[احداثی  ]]+Table3[[#This Row],[معیشتی  ]]</f>
        <v>3167</v>
      </c>
      <c r="N5" s="21">
        <f>Table3[[#This Row],[ارزیابی شهر و روستا  ]]-Table3[[#This Row],[جمع تعمیری  ]]</f>
        <v>618</v>
      </c>
      <c r="O5" s="21">
        <v>7613300</v>
      </c>
      <c r="P5" s="21">
        <v>1647800</v>
      </c>
      <c r="Q5" s="21">
        <v>5965500</v>
      </c>
      <c r="R5" s="21">
        <v>0</v>
      </c>
      <c r="S5" s="21">
        <v>158</v>
      </c>
      <c r="T5" s="21">
        <v>433</v>
      </c>
      <c r="U5" s="21">
        <v>2400</v>
      </c>
      <c r="V5" s="21">
        <f>Table3[[#This Row],[تعمیرات نوع 3  ]]+Table3[[#This Row],[تعمیرات نوع 2  ]]+Table3[[#This Row],[تعمیرات نوع 1]]</f>
        <v>2991</v>
      </c>
      <c r="W5" s="21">
        <v>223</v>
      </c>
      <c r="X5" s="21">
        <v>223</v>
      </c>
      <c r="Y5" s="24">
        <v>118.4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/>
      <c r="E6" s="21"/>
      <c r="F6" s="21">
        <v>356</v>
      </c>
      <c r="G6" s="21">
        <v>3926</v>
      </c>
      <c r="H6" s="21">
        <v>2900</v>
      </c>
      <c r="I6" s="21">
        <v>65</v>
      </c>
      <c r="J6" s="21">
        <v>3018</v>
      </c>
      <c r="K6" s="21">
        <v>7153</v>
      </c>
      <c r="L6" s="21">
        <f>Table3[[#This Row],[جمع تعمیری  ]]+Table3[[#This Row],[معیشتی  ]]+Table3[[#This Row],[احداثی  ]]</f>
        <v>10236</v>
      </c>
      <c r="M6" s="21">
        <f>Table3[[#This Row],[تعمیری  نوع 1]]+Table3[[#This Row],[تعمیری  نوع 2]]+Table3[[#This Row],[تعمیری  نوع 3]]+Table3[[#This Row],[احداثی  ]]+Table3[[#This Row],[معیشتی  ]]</f>
        <v>10265</v>
      </c>
      <c r="N6" s="21">
        <f>Table3[[#This Row],[ارزیابی شهر و روستا  ]]-Table3[[#This Row],[جمع تعمیری  ]]</f>
        <v>3083</v>
      </c>
      <c r="O6" s="21">
        <v>20523200</v>
      </c>
      <c r="P6" s="21">
        <v>1518200</v>
      </c>
      <c r="Q6" s="21">
        <v>19005000</v>
      </c>
      <c r="R6" s="21">
        <v>23</v>
      </c>
      <c r="S6" s="21">
        <v>23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3555</v>
      </c>
      <c r="W6" s="21">
        <v>193</v>
      </c>
      <c r="X6" s="21">
        <v>128</v>
      </c>
      <c r="Y6" s="24">
        <v>68.400000000000006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/>
      <c r="E7" s="21"/>
      <c r="F7" s="21">
        <v>171</v>
      </c>
      <c r="G7" s="21">
        <v>36</v>
      </c>
      <c r="H7" s="21">
        <v>84</v>
      </c>
      <c r="I7" s="21">
        <v>9</v>
      </c>
      <c r="J7" s="21">
        <v>82</v>
      </c>
      <c r="K7" s="21">
        <v>291</v>
      </c>
      <c r="L7" s="21">
        <f>Table3[[#This Row],[جمع تعمیری  ]]+Table3[[#This Row],[معیشتی  ]]+Table3[[#This Row],[احداثی  ]]</f>
        <v>382</v>
      </c>
      <c r="M7" s="21">
        <f>Table3[[#This Row],[تعمیری  نوع 1]]+Table3[[#This Row],[تعمیری  نوع 2]]+Table3[[#This Row],[تعمیری  نوع 3]]+Table3[[#This Row],[احداثی  ]]+Table3[[#This Row],[معیشتی  ]]</f>
        <v>382</v>
      </c>
      <c r="N7" s="21">
        <f>Table3[[#This Row],[ارزیابی شهر و روستا  ]]-Table3[[#This Row],[جمع تعمیری  ]]</f>
        <v>91</v>
      </c>
      <c r="O7" s="21">
        <v>1531500</v>
      </c>
      <c r="P7" s="21">
        <v>225000</v>
      </c>
      <c r="Q7" s="21">
        <v>1306500</v>
      </c>
      <c r="R7" s="21">
        <v>4</v>
      </c>
      <c r="S7" s="21">
        <v>9</v>
      </c>
      <c r="T7" s="21">
        <v>34</v>
      </c>
      <c r="U7" s="21">
        <v>72</v>
      </c>
      <c r="V7" s="21">
        <f>Table3[[#This Row],[تعمیرات نوع 3  ]]+Table3[[#This Row],[تعمیرات نوع 2  ]]+Table3[[#This Row],[تعمیرات نوع 1]]</f>
        <v>115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/>
      <c r="E8" s="21"/>
      <c r="F8" s="21">
        <v>0</v>
      </c>
      <c r="G8" s="21">
        <v>21</v>
      </c>
      <c r="H8" s="21">
        <v>42</v>
      </c>
      <c r="I8" s="21">
        <v>0</v>
      </c>
      <c r="J8" s="21">
        <v>0</v>
      </c>
      <c r="K8" s="21">
        <v>63</v>
      </c>
      <c r="L8" s="21">
        <f>Table3[[#This Row],[جمع تعمیری  ]]+Table3[[#This Row],[معیشتی  ]]+Table3[[#This Row],[احداثی  ]]</f>
        <v>63</v>
      </c>
      <c r="M8" s="21">
        <f>Table3[[#This Row],[تعمیری  نوع 1]]+Table3[[#This Row],[تعمیری  نوع 2]]+Table3[[#This Row],[تعمیری  نوع 3]]+Table3[[#This Row],[احداثی  ]]+Table3[[#This Row],[معیشتی  ]]</f>
        <v>63</v>
      </c>
      <c r="N8" s="21">
        <f>Table3[[#This Row],[ارزیابی شهر و روستا  ]]-Table3[[#This Row],[جمع تعمیری  ]]</f>
        <v>0</v>
      </c>
      <c r="O8" s="21">
        <v>105000</v>
      </c>
      <c r="P8" s="21">
        <v>0</v>
      </c>
      <c r="Q8" s="21">
        <v>105000</v>
      </c>
      <c r="R8" s="21">
        <v>0</v>
      </c>
      <c r="S8" s="21">
        <v>0</v>
      </c>
      <c r="T8" s="21">
        <v>0</v>
      </c>
      <c r="U8" s="21">
        <v>42</v>
      </c>
      <c r="V8" s="21">
        <f>Table3[[#This Row],[تعمیرات نوع 3  ]]+Table3[[#This Row],[تعمیرات نوع 2  ]]+Table3[[#This Row],[تعمیرات نوع 1]]</f>
        <v>42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/>
      <c r="E9" s="21"/>
      <c r="F9" s="21">
        <v>447</v>
      </c>
      <c r="G9" s="21">
        <v>1367</v>
      </c>
      <c r="H9" s="21">
        <v>13044</v>
      </c>
      <c r="I9" s="21">
        <v>168</v>
      </c>
      <c r="J9" s="21">
        <v>2677</v>
      </c>
      <c r="K9" s="21">
        <v>11126</v>
      </c>
      <c r="L9" s="21">
        <f>Table3[[#This Row],[جمع تعمیری  ]]+Table3[[#This Row],[معیشتی  ]]+Table3[[#This Row],[احداثی  ]]</f>
        <v>13971</v>
      </c>
      <c r="M9" s="21">
        <f>Table3[[#This Row],[تعمیری  نوع 1]]+Table3[[#This Row],[تعمیری  نوع 2]]+Table3[[#This Row],[تعمیری  نوع 3]]+Table3[[#This Row],[احداثی  ]]+Table3[[#This Row],[معیشتی  ]]</f>
        <v>17703</v>
      </c>
      <c r="N9" s="21">
        <f>Table3[[#This Row],[ارزیابی شهر و روستا  ]]-Table3[[#This Row],[جمع تعمیری  ]]</f>
        <v>2845</v>
      </c>
      <c r="O9" s="21">
        <v>19031900</v>
      </c>
      <c r="P9" s="21">
        <v>3968600</v>
      </c>
      <c r="Q9" s="21">
        <v>20010700</v>
      </c>
      <c r="R9" s="21">
        <v>105</v>
      </c>
      <c r="S9" s="21">
        <v>148</v>
      </c>
      <c r="T9" s="21">
        <v>552</v>
      </c>
      <c r="U9" s="21">
        <v>8496</v>
      </c>
      <c r="V9" s="21">
        <f>Table3[[#This Row],[تعمیرات نوع 3  ]]+Table3[[#This Row],[تعمیرات نوع 2  ]]+Table3[[#This Row],[تعمیرات نوع 1]]</f>
        <v>9196</v>
      </c>
      <c r="W9" s="21">
        <v>497</v>
      </c>
      <c r="X9" s="21">
        <v>477</v>
      </c>
      <c r="Y9" s="24">
        <v>297.5</v>
      </c>
      <c r="Z9" s="20">
        <v>166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/>
      <c r="E10" s="21"/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v>10766</v>
      </c>
      <c r="L10" s="21">
        <f>Table3[[#This Row],[جمع تعمیری  ]]+Table3[[#This Row],[معیشتی  ]]+Table3[[#This Row],[احداثی  ]]</f>
        <v>14760</v>
      </c>
      <c r="M10" s="21">
        <f>Table3[[#This Row],[تعمیری  نوع 1]]+Table3[[#This Row],[تعمیری  نوع 2]]+Table3[[#This Row],[تعمیری  نوع 3]]+Table3[[#This Row],[احداثی  ]]+Table3[[#This Row],[معیشتی  ]]</f>
        <v>14760</v>
      </c>
      <c r="N10" s="21">
        <f>Table3[[#This Row],[ارزیابی شهر و روستا  ]]-Table3[[#This Row],[جمع تعمیری  ]]</f>
        <v>3994</v>
      </c>
      <c r="O10" s="21">
        <v>29227900</v>
      </c>
      <c r="P10" s="21">
        <v>4069400</v>
      </c>
      <c r="Q10" s="21">
        <v>25158500</v>
      </c>
      <c r="R10" s="21">
        <v>47</v>
      </c>
      <c r="S10" s="21">
        <v>281</v>
      </c>
      <c r="T10" s="21">
        <v>3410</v>
      </c>
      <c r="U10" s="21">
        <v>4863</v>
      </c>
      <c r="V10" s="21">
        <f>Table3[[#This Row],[تعمیرات نوع 3  ]]+Table3[[#This Row],[تعمیرات نوع 2  ]]+Table3[[#This Row],[تعمیرات نوع 1]]</f>
        <v>8554</v>
      </c>
      <c r="W10" s="21">
        <v>313</v>
      </c>
      <c r="X10" s="21">
        <v>281</v>
      </c>
      <c r="Y10" s="24">
        <v>155.19999999999999</v>
      </c>
      <c r="Z10" s="20">
        <v>182</v>
      </c>
      <c r="AA10" s="20">
        <v>15</v>
      </c>
      <c r="AB10" s="20">
        <v>123</v>
      </c>
      <c r="AC10" s="20">
        <v>15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/>
      <c r="E11" s="21"/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v>9191</v>
      </c>
      <c r="L11" s="21">
        <f>Table3[[#This Row],[جمع تعمیری  ]]+Table3[[#This Row],[معیشتی  ]]+Table3[[#This Row],[احداثی  ]]</f>
        <v>12278</v>
      </c>
      <c r="M11" s="21">
        <f>Table3[[#This Row],[تعمیری  نوع 1]]+Table3[[#This Row],[تعمیری  نوع 2]]+Table3[[#This Row],[تعمیری  نوع 3]]+Table3[[#This Row],[احداثی  ]]+Table3[[#This Row],[معیشتی  ]]</f>
        <v>12337</v>
      </c>
      <c r="N11" s="21">
        <f>Table3[[#This Row],[ارزیابی شهر و روستا  ]]-Table3[[#This Row],[جمع تعمیری  ]]</f>
        <v>3087</v>
      </c>
      <c r="O11" s="21"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f>Table3[[#This Row],[تعمیرات نوع 3  ]]+Table3[[#This Row],[تعمیرات نوع 2  ]]+Table3[[#This Row],[تعمیرات نوع 1]]</f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/>
      <c r="E12" s="21"/>
      <c r="F12" s="21">
        <v>9</v>
      </c>
      <c r="G12" s="21">
        <v>3562</v>
      </c>
      <c r="H12" s="21">
        <v>2694</v>
      </c>
      <c r="I12" s="21">
        <v>2</v>
      </c>
      <c r="J12" s="21">
        <v>1428</v>
      </c>
      <c r="K12" s="21">
        <v>6230</v>
      </c>
      <c r="L12" s="21">
        <f>Table3[[#This Row],[جمع تعمیری  ]]+Table3[[#This Row],[معیشتی  ]]+Table3[[#This Row],[احداثی  ]]</f>
        <v>7660</v>
      </c>
      <c r="M12" s="21">
        <f>Table3[[#This Row],[تعمیری  نوع 1]]+Table3[[#This Row],[تعمیری  نوع 2]]+Table3[[#This Row],[تعمیری  نوع 3]]+Table3[[#This Row],[احداثی  ]]+Table3[[#This Row],[معیشتی  ]]</f>
        <v>7695</v>
      </c>
      <c r="N12" s="21">
        <f>Table3[[#This Row],[ارزیابی شهر و روستا  ]]-Table3[[#This Row],[جمع تعمیری  ]]</f>
        <v>1430</v>
      </c>
      <c r="O12" s="21"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2168</v>
      </c>
      <c r="U12" s="21">
        <v>2076</v>
      </c>
      <c r="V12" s="21">
        <f>Table3[[#This Row],[تعمیرات نوع 3  ]]+Table3[[#This Row],[تعمیرات نوع 2  ]]+Table3[[#This Row],[تعمیرات نوع 1]]</f>
        <v>4248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/>
      <c r="E13" s="21"/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v>1574</v>
      </c>
      <c r="L13" s="21">
        <f>Table3[[#This Row],[جمع تعمیری  ]]+Table3[[#This Row],[معیشتی  ]]+Table3[[#This Row],[احداثی  ]]</f>
        <v>1821</v>
      </c>
      <c r="M13" s="21">
        <f>Table3[[#This Row],[تعمیری  نوع 1]]+Table3[[#This Row],[تعمیری  نوع 2]]+Table3[[#This Row],[تعمیری  نوع 3]]+Table3[[#This Row],[احداثی  ]]+Table3[[#This Row],[معیشتی  ]]</f>
        <v>1842</v>
      </c>
      <c r="N13" s="21">
        <f>Table3[[#This Row],[ارزیابی شهر و روستا  ]]-Table3[[#This Row],[جمع تعمیری  ]]</f>
        <v>247</v>
      </c>
      <c r="O13" s="21">
        <v>3204400</v>
      </c>
      <c r="P13" s="21">
        <v>539800</v>
      </c>
      <c r="Q13" s="21">
        <v>2664600</v>
      </c>
      <c r="R13" s="21">
        <v>7</v>
      </c>
      <c r="S13" s="21">
        <v>31</v>
      </c>
      <c r="T13" s="21">
        <v>297</v>
      </c>
      <c r="U13" s="21">
        <v>636</v>
      </c>
      <c r="V13" s="21">
        <f>Table3[[#This Row],[تعمیرات نوع 3  ]]+Table3[[#This Row],[تعمیرات نوع 2  ]]+Table3[[#This Row],[تعمیرات نوع 1]]</f>
        <v>964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/>
      <c r="E14" s="21"/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v>751</v>
      </c>
      <c r="L14" s="21">
        <f>Table3[[#This Row],[جمع تعمیری  ]]+Table3[[#This Row],[معیشتی  ]]+Table3[[#This Row],[احداثی  ]]</f>
        <v>1150</v>
      </c>
      <c r="M14" s="21">
        <f>Table3[[#This Row],[تعمیری  نوع 1]]+Table3[[#This Row],[تعمیری  نوع 2]]+Table3[[#This Row],[تعمیری  نوع 3]]+Table3[[#This Row],[احداثی  ]]+Table3[[#This Row],[معیشتی  ]]</f>
        <v>1150</v>
      </c>
      <c r="N14" s="21">
        <f>Table3[[#This Row],[ارزیابی شهر و روستا  ]]-Table3[[#This Row],[جمع تعمیری  ]]</f>
        <v>399</v>
      </c>
      <c r="O14" s="21"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/>
      <c r="E15" s="21"/>
      <c r="F15" s="21">
        <v>658</v>
      </c>
      <c r="G15" s="21">
        <v>3519</v>
      </c>
      <c r="H15" s="21">
        <v>8819</v>
      </c>
      <c r="I15" s="21">
        <v>149</v>
      </c>
      <c r="J15" s="21">
        <v>2953</v>
      </c>
      <c r="K15" s="21">
        <v>12971</v>
      </c>
      <c r="L15" s="21">
        <f>Table3[[#This Row],[جمع تعمیری  ]]+Table3[[#This Row],[معیشتی  ]]+Table3[[#This Row],[احداثی  ]]</f>
        <v>16073</v>
      </c>
      <c r="M15" s="21">
        <f>Table3[[#This Row],[تعمیری  نوع 1]]+Table3[[#This Row],[تعمیری  نوع 2]]+Table3[[#This Row],[تعمیری  نوع 3]]+Table3[[#This Row],[احداثی  ]]+Table3[[#This Row],[معیشتی  ]]</f>
        <v>16098</v>
      </c>
      <c r="N15" s="21">
        <f>Table3[[#This Row],[ارزیابی شهر و روستا  ]]-Table3[[#This Row],[جمع تعمیری  ]]</f>
        <v>3102</v>
      </c>
      <c r="O15" s="21">
        <v>25029100</v>
      </c>
      <c r="P15" s="21">
        <v>2852800</v>
      </c>
      <c r="Q15" s="21">
        <v>22176300</v>
      </c>
      <c r="R15" s="21">
        <v>64</v>
      </c>
      <c r="S15" s="21">
        <v>197</v>
      </c>
      <c r="T15" s="21">
        <v>1262</v>
      </c>
      <c r="U15" s="21">
        <v>6605</v>
      </c>
      <c r="V15" s="21">
        <f>Table3[[#This Row],[تعمیرات نوع 3  ]]+Table3[[#This Row],[تعمیرات نوع 2  ]]+Table3[[#This Row],[تعمیرات نوع 1]]</f>
        <v>8064</v>
      </c>
      <c r="W15" s="21">
        <v>205</v>
      </c>
      <c r="X15" s="21">
        <v>175</v>
      </c>
      <c r="Y15" s="24">
        <v>103.8</v>
      </c>
      <c r="Z15" s="20">
        <v>157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/>
      <c r="E16" s="21"/>
      <c r="F16" s="21">
        <v>540</v>
      </c>
      <c r="G16" s="21">
        <v>3378</v>
      </c>
      <c r="H16" s="21">
        <v>3096</v>
      </c>
      <c r="I16" s="21">
        <v>135</v>
      </c>
      <c r="J16" s="21">
        <v>2140</v>
      </c>
      <c r="K16" s="21">
        <v>7006</v>
      </c>
      <c r="L16" s="21">
        <f>Table3[[#This Row],[جمع تعمیری  ]]+Table3[[#This Row],[معیشتی  ]]+Table3[[#This Row],[احداثی  ]]</f>
        <v>9281</v>
      </c>
      <c r="M16" s="21">
        <f>Table3[[#This Row],[تعمیری  نوع 1]]+Table3[[#This Row],[تعمیری  نوع 2]]+Table3[[#This Row],[تعمیری  نوع 3]]+Table3[[#This Row],[احداثی  ]]+Table3[[#This Row],[معیشتی  ]]</f>
        <v>9289</v>
      </c>
      <c r="N16" s="21">
        <f>Table3[[#This Row],[ارزیابی شهر و روستا  ]]-Table3[[#This Row],[جمع تعمیری  ]]</f>
        <v>2275</v>
      </c>
      <c r="O16" s="21"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1015</v>
      </c>
      <c r="V16" s="21">
        <f>Table3[[#This Row],[تعمیرات نوع 3  ]]+Table3[[#This Row],[تعمیرات نوع 2  ]]+Table3[[#This Row],[تعمیرات نوع 1]]</f>
        <v>1182</v>
      </c>
      <c r="W16" s="21">
        <v>259</v>
      </c>
      <c r="X16" s="21">
        <v>238</v>
      </c>
      <c r="Y16" s="24">
        <v>144.19999999999999</v>
      </c>
      <c r="Z16" s="20">
        <v>156</v>
      </c>
      <c r="AA16" s="20">
        <v>51</v>
      </c>
      <c r="AB16" s="20">
        <v>128</v>
      </c>
      <c r="AC16" s="20">
        <v>30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/>
      <c r="E17" s="21"/>
      <c r="F17" s="21">
        <v>184</v>
      </c>
      <c r="G17" s="21">
        <v>1169</v>
      </c>
      <c r="H17" s="21">
        <v>1760</v>
      </c>
      <c r="I17" s="21">
        <v>57</v>
      </c>
      <c r="J17" s="21">
        <v>985</v>
      </c>
      <c r="K17" s="21">
        <v>3067</v>
      </c>
      <c r="L17" s="21">
        <f>Table3[[#This Row],[جمع تعمیری  ]]+Table3[[#This Row],[معیشتی  ]]+Table3[[#This Row],[احداثی  ]]</f>
        <v>4109</v>
      </c>
      <c r="M17" s="21">
        <f>Table3[[#This Row],[تعمیری  نوع 1]]+Table3[[#This Row],[تعمیری  نوع 2]]+Table3[[#This Row],[تعمیری  نوع 3]]+Table3[[#This Row],[احداثی  ]]+Table3[[#This Row],[معیشتی  ]]</f>
        <v>4155</v>
      </c>
      <c r="N17" s="21">
        <f>Table3[[#This Row],[ارزیابی شهر و روستا  ]]-Table3[[#This Row],[جمع تعمیری  ]]</f>
        <v>1042</v>
      </c>
      <c r="O17" s="21">
        <v>8231100</v>
      </c>
      <c r="P17" s="21">
        <v>1407200</v>
      </c>
      <c r="Q17" s="21">
        <v>6823900</v>
      </c>
      <c r="R17" s="21">
        <v>28</v>
      </c>
      <c r="S17" s="21">
        <v>33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1637</v>
      </c>
      <c r="W17" s="21">
        <v>114</v>
      </c>
      <c r="X17" s="21">
        <v>104</v>
      </c>
      <c r="Y17" s="24">
        <v>67.900000000000006</v>
      </c>
      <c r="Z17" s="20">
        <v>91</v>
      </c>
      <c r="AA17" s="20">
        <v>42</v>
      </c>
      <c r="AB17" s="20">
        <v>57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/>
      <c r="E18" s="21"/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v>2014</v>
      </c>
      <c r="L18" s="21">
        <f>Table3[[#This Row],[جمع تعمیری  ]]+Table3[[#This Row],[معیشتی  ]]+Table3[[#This Row],[احداثی  ]]</f>
        <v>2508</v>
      </c>
      <c r="M18" s="21">
        <f>Table3[[#This Row],[تعمیری  نوع 1]]+Table3[[#This Row],[تعمیری  نوع 2]]+Table3[[#This Row],[تعمیری  نوع 3]]+Table3[[#This Row],[احداثی  ]]+Table3[[#This Row],[معیشتی  ]]</f>
        <v>2508</v>
      </c>
      <c r="N18" s="21">
        <f>Table3[[#This Row],[ارزیابی شهر و روستا  ]]-Table3[[#This Row],[جمع تعمیری  ]]</f>
        <v>494</v>
      </c>
      <c r="O18" s="21">
        <v>5734400</v>
      </c>
      <c r="P18" s="21">
        <v>811000</v>
      </c>
      <c r="Q18" s="21">
        <v>4923400</v>
      </c>
      <c r="R18" s="21">
        <v>8</v>
      </c>
      <c r="S18" s="21">
        <v>43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1903</v>
      </c>
      <c r="W18" s="21">
        <v>83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/>
      <c r="E19" s="21"/>
      <c r="F19" s="21">
        <v>557</v>
      </c>
      <c r="G19" s="21">
        <v>4178</v>
      </c>
      <c r="H19" s="21">
        <v>5526</v>
      </c>
      <c r="I19" s="21">
        <v>141</v>
      </c>
      <c r="J19" s="21">
        <v>2720</v>
      </c>
      <c r="K19" s="21">
        <v>10225</v>
      </c>
      <c r="L19" s="21">
        <f>Table3[[#This Row],[جمع تعمیری  ]]+Table3[[#This Row],[معیشتی  ]]+Table3[[#This Row],[احداثی  ]]</f>
        <v>13086</v>
      </c>
      <c r="M19" s="21">
        <f>Table3[[#This Row],[تعمیری  نوع 1]]+Table3[[#This Row],[تعمیری  نوع 2]]+Table3[[#This Row],[تعمیری  نوع 3]]+Table3[[#This Row],[احداثی  ]]+Table3[[#This Row],[معیشتی  ]]</f>
        <v>13122</v>
      </c>
      <c r="N19" s="21">
        <f>Table3[[#This Row],[ارزیابی شهر و روستا  ]]-Table3[[#This Row],[جمع تعمیری  ]]</f>
        <v>2861</v>
      </c>
      <c r="O19" s="21">
        <v>25449400</v>
      </c>
      <c r="P19" s="21">
        <v>3400400</v>
      </c>
      <c r="Q19" s="21">
        <v>22049000</v>
      </c>
      <c r="R19" s="21">
        <v>0</v>
      </c>
      <c r="S19" s="21">
        <v>312</v>
      </c>
      <c r="T19" s="21">
        <v>1884</v>
      </c>
      <c r="U19" s="21">
        <v>5500</v>
      </c>
      <c r="V19" s="21">
        <f>Table3[[#This Row],[تعمیرات نوع 3  ]]+Table3[[#This Row],[تعمیرات نوع 2  ]]+Table3[[#This Row],[تعمیرات نوع 1]]</f>
        <v>7696</v>
      </c>
      <c r="W19" s="21">
        <v>530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/>
      <c r="E20" s="21"/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v>200</v>
      </c>
      <c r="L20" s="21">
        <f>Table3[[#This Row],[جمع تعمیری  ]]+Table3[[#This Row],[معیشتی  ]]+Table3[[#This Row],[احداثی  ]]</f>
        <v>224</v>
      </c>
      <c r="M20" s="21">
        <f>Table3[[#This Row],[تعمیری  نوع 1]]+Table3[[#This Row],[تعمیری  نوع 2]]+Table3[[#This Row],[تعمیری  نوع 3]]+Table3[[#This Row],[احداثی  ]]+Table3[[#This Row],[معیشتی  ]]</f>
        <v>224</v>
      </c>
      <c r="N20" s="21">
        <f>Table3[[#This Row],[ارزیابی شهر و روستا  ]]-Table3[[#This Row],[جمع تعمیری  ]]</f>
        <v>24</v>
      </c>
      <c r="O20" s="21"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80</v>
      </c>
      <c r="U20" s="21">
        <v>37</v>
      </c>
      <c r="V20" s="21">
        <f>Table3[[#This Row],[تعمیرات نوع 3  ]]+Table3[[#This Row],[تعمیرات نوع 2  ]]+Table3[[#This Row],[تعمیرات نوع 1]]</f>
        <v>118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/>
      <c r="E21" s="21"/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v>30</v>
      </c>
      <c r="L21" s="21">
        <f>Table3[[#This Row],[جمع تعمیری  ]]+Table3[[#This Row],[معیشتی  ]]+Table3[[#This Row],[احداثی  ]]</f>
        <v>49</v>
      </c>
      <c r="M21" s="21">
        <f>Table3[[#This Row],[تعمیری  نوع 1]]+Table3[[#This Row],[تعمیری  نوع 2]]+Table3[[#This Row],[تعمیری  نوع 3]]+Table3[[#This Row],[احداثی  ]]+Table3[[#This Row],[معیشتی  ]]</f>
        <v>49</v>
      </c>
      <c r="N21" s="21">
        <f>Table3[[#This Row],[ارزیابی شهر و روستا  ]]-Table3[[#This Row],[جمع تعمیری  ]]</f>
        <v>19</v>
      </c>
      <c r="O21" s="21"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/>
      <c r="E22" s="21"/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v>625</v>
      </c>
      <c r="L22" s="21">
        <f>Table3[[#This Row],[جمع تعمیری  ]]+Table3[[#This Row],[معیشتی  ]]+Table3[[#This Row],[احداثی  ]]</f>
        <v>642</v>
      </c>
      <c r="M22" s="21">
        <f>Table3[[#This Row],[تعمیری  نوع 1]]+Table3[[#This Row],[تعمیری  نوع 2]]+Table3[[#This Row],[تعمیری  نوع 3]]+Table3[[#This Row],[احداثی  ]]+Table3[[#This Row],[معیشتی  ]]</f>
        <v>642</v>
      </c>
      <c r="N22" s="21">
        <f>Table3[[#This Row],[ارزیابی شهر و روستا  ]]-Table3[[#This Row],[جمع تعمیری  ]]</f>
        <v>17</v>
      </c>
      <c r="O22" s="21">
        <v>532900</v>
      </c>
      <c r="P22" s="21">
        <v>21600</v>
      </c>
      <c r="Q22" s="21">
        <v>511300</v>
      </c>
      <c r="R22" s="21">
        <v>0</v>
      </c>
      <c r="S22" s="21">
        <v>3</v>
      </c>
      <c r="T22" s="21">
        <v>66</v>
      </c>
      <c r="U22" s="21">
        <v>295</v>
      </c>
      <c r="V22" s="21">
        <f>Table3[[#This Row],[تعمیرات نوع 3  ]]+Table3[[#This Row],[تعمیرات نوع 2  ]]+Table3[[#This Row],[تعمیرات نوع 1]]</f>
        <v>364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/>
      <c r="E23" s="21"/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v>84</v>
      </c>
      <c r="L23" s="21">
        <f>Table3[[#This Row],[جمع تعمیری  ]]+Table3[[#This Row],[معیشتی  ]]+Table3[[#This Row],[احداثی  ]]</f>
        <v>113</v>
      </c>
      <c r="M23" s="21">
        <f>Table3[[#This Row],[تعمیری  نوع 1]]+Table3[[#This Row],[تعمیری  نوع 2]]+Table3[[#This Row],[تعمیری  نوع 3]]+Table3[[#This Row],[احداثی  ]]+Table3[[#This Row],[معیشتی  ]]</f>
        <v>113</v>
      </c>
      <c r="N23" s="21">
        <f>Table3[[#This Row],[ارزیابی شهر و روستا  ]]-Table3[[#This Row],[جمع تعمیری  ]]</f>
        <v>29</v>
      </c>
      <c r="O23" s="21"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1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/>
      <c r="E24" s="21"/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v>138</v>
      </c>
      <c r="L24" s="21">
        <f>Table3[[#This Row],[جمع تعمیری  ]]+Table3[[#This Row],[معیشتی  ]]+Table3[[#This Row],[احداثی  ]]</f>
        <v>165</v>
      </c>
      <c r="M24" s="21">
        <f>Table3[[#This Row],[تعمیری  نوع 1]]+Table3[[#This Row],[تعمیری  نوع 2]]+Table3[[#This Row],[تعمیری  نوع 3]]+Table3[[#This Row],[احداثی  ]]+Table3[[#This Row],[معیشتی  ]]</f>
        <v>165</v>
      </c>
      <c r="N24" s="21">
        <f>Table3[[#This Row],[ارزیابی شهر و روستا  ]]-Table3[[#This Row],[جمع تعمیری  ]]</f>
        <v>27</v>
      </c>
      <c r="O24" s="21"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4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/>
      <c r="E25" s="21"/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v>749</v>
      </c>
      <c r="L25" s="21">
        <f>Table3[[#This Row],[جمع تعمیری  ]]+Table3[[#This Row],[معیشتی  ]]+Table3[[#This Row],[احداثی  ]]</f>
        <v>1065</v>
      </c>
      <c r="M25" s="21">
        <f>Table3[[#This Row],[تعمیری  نوع 1]]+Table3[[#This Row],[تعمیری  نوع 2]]+Table3[[#This Row],[تعمیری  نوع 3]]+Table3[[#This Row],[احداثی  ]]+Table3[[#This Row],[معیشتی  ]]</f>
        <v>1125</v>
      </c>
      <c r="N25" s="21">
        <f>Table3[[#This Row],[ارزیابی شهر و روستا  ]]-Table3[[#This Row],[جمع تعمیری  ]]</f>
        <v>316</v>
      </c>
      <c r="O25" s="21">
        <v>2113800</v>
      </c>
      <c r="P25" s="21">
        <v>978800</v>
      </c>
      <c r="Q25" s="21">
        <v>1135000</v>
      </c>
      <c r="R25" s="21">
        <v>18</v>
      </c>
      <c r="S25" s="21">
        <v>1</v>
      </c>
      <c r="T25" s="21">
        <v>10</v>
      </c>
      <c r="U25" s="21">
        <v>175</v>
      </c>
      <c r="V25" s="21">
        <f>Table3[[#This Row],[تعمیرات نوع 3  ]]+Table3[[#This Row],[تعمیرات نوع 2  ]]+Table3[[#This Row],[تعمیرات نوع 1]]</f>
        <v>186</v>
      </c>
      <c r="W25" s="21">
        <v>437</v>
      </c>
      <c r="X25" s="21">
        <v>298</v>
      </c>
      <c r="Y25" s="24">
        <v>208.1</v>
      </c>
      <c r="Z25" s="20">
        <v>140</v>
      </c>
      <c r="AA25" s="20">
        <v>124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/>
      <c r="E26" s="21"/>
      <c r="F26" s="21">
        <v>25</v>
      </c>
      <c r="G26" s="21">
        <v>51</v>
      </c>
      <c r="H26" s="21">
        <v>248</v>
      </c>
      <c r="I26" s="21">
        <v>2</v>
      </c>
      <c r="J26" s="21">
        <v>105</v>
      </c>
      <c r="K26" s="21">
        <v>324</v>
      </c>
      <c r="L26" s="21">
        <f>Table3[[#This Row],[جمع تعمیری  ]]+Table3[[#This Row],[معیشتی  ]]+Table3[[#This Row],[احداثی  ]]</f>
        <v>431</v>
      </c>
      <c r="M26" s="21">
        <f>Table3[[#This Row],[تعمیری  نوع 1]]+Table3[[#This Row],[تعمیری  نوع 2]]+Table3[[#This Row],[تعمیری  نوع 3]]+Table3[[#This Row],[احداثی  ]]+Table3[[#This Row],[معیشتی  ]]</f>
        <v>431</v>
      </c>
      <c r="N26" s="21">
        <f>Table3[[#This Row],[ارزیابی شهر و روستا  ]]-Table3[[#This Row],[جمع تعمیری  ]]</f>
        <v>107</v>
      </c>
      <c r="O26" s="21">
        <v>535300</v>
      </c>
      <c r="P26" s="21">
        <v>32200</v>
      </c>
      <c r="Q26" s="21">
        <v>503100</v>
      </c>
      <c r="R26" s="21">
        <v>1</v>
      </c>
      <c r="S26" s="21">
        <v>16</v>
      </c>
      <c r="T26" s="21">
        <v>23</v>
      </c>
      <c r="U26" s="21">
        <v>120</v>
      </c>
      <c r="V26" s="21">
        <f>Table3[[#This Row],[تعمیرات نوع 3  ]]+Table3[[#This Row],[تعمیرات نوع 2  ]]+Table3[[#This Row],[تعمیرات نوع 1]]</f>
        <v>159</v>
      </c>
      <c r="W26" s="21">
        <v>8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>
        <f>F26+F25+F24+F23+F22+F21+F20+F19+F18+F17+F16+F15+F14+F13+F12+F11+F10+F9+F8+F7+F6+F5+F4+F3</f>
        <v>5327</v>
      </c>
      <c r="G27" s="20">
        <f t="shared" ref="G27:N27" si="0">G26+G25+G24+G23+G22+G21+G20+G19+G18+G17+G16+G15+G14+G13+G12+G11+G10+G9+G8+G7+G6+G5+G4+G3</f>
        <v>33709</v>
      </c>
      <c r="H27" s="20">
        <f t="shared" si="0"/>
        <v>63726</v>
      </c>
      <c r="I27" s="20">
        <f t="shared" si="0"/>
        <v>1307</v>
      </c>
      <c r="J27" s="20">
        <f t="shared" si="0"/>
        <v>27713</v>
      </c>
      <c r="K27" s="20">
        <f t="shared" si="0"/>
        <v>98666</v>
      </c>
      <c r="L27" s="20">
        <f t="shared" si="0"/>
        <v>127686</v>
      </c>
      <c r="M27" s="20">
        <f t="shared" si="0"/>
        <v>131782</v>
      </c>
      <c r="N27" s="20">
        <f t="shared" si="0"/>
        <v>29020</v>
      </c>
      <c r="O27" s="21">
        <f t="shared" ref="O27:V27" si="1">O26+O25+O24+O23+O22+O21+O20+O19+O18+O17+O16+O15+O14+O13+O12+O11+O10+O9+O8+O7+O6+O5+O4+O3</f>
        <v>223174600</v>
      </c>
      <c r="P27" s="20">
        <f t="shared" si="1"/>
        <v>28759000</v>
      </c>
      <c r="Q27" s="20">
        <f t="shared" si="1"/>
        <v>199363000</v>
      </c>
      <c r="R27" s="20">
        <f t="shared" si="1"/>
        <v>476</v>
      </c>
      <c r="S27" s="20">
        <f t="shared" si="1"/>
        <v>1650</v>
      </c>
      <c r="T27" s="20">
        <f t="shared" si="1"/>
        <v>13960</v>
      </c>
      <c r="U27" s="20">
        <f t="shared" si="1"/>
        <v>45485</v>
      </c>
      <c r="V27" s="20">
        <f t="shared" si="1"/>
        <v>61095</v>
      </c>
      <c r="W27" s="20">
        <f>W26+W25+W24+W23+W21++W22+W20+W19+W18+W17+W16+W15+W14+W13+W12+W11+W10+W9+W8+W8+W7+W6+W5+W4+W3</f>
        <v>3487</v>
      </c>
      <c r="X27" s="20">
        <f t="shared" ref="X27:AC27" si="2">X26+X25+X24+X23+X22+X21+X20+X19+X18+X17+X16+X15+X14+X13+X12+X11+X10+X9+X8+X7+X6+X5+X4+X3</f>
        <v>3005</v>
      </c>
      <c r="Y27" s="20">
        <f t="shared" si="2"/>
        <v>1688.2</v>
      </c>
      <c r="Z27" s="20">
        <f t="shared" si="2"/>
        <v>1477</v>
      </c>
      <c r="AA27" s="20">
        <f t="shared" si="2"/>
        <v>515</v>
      </c>
      <c r="AB27" s="20">
        <f t="shared" si="2"/>
        <v>1273</v>
      </c>
      <c r="AC27" s="20">
        <f t="shared" si="2"/>
        <v>358</v>
      </c>
    </row>
    <row r="28" spans="1:29" x14ac:dyDescent="0.2">
      <c r="K28" s="19"/>
      <c r="Q28" s="19"/>
      <c r="R28" s="19"/>
    </row>
    <row r="29" spans="1:29" x14ac:dyDescent="0.2">
      <c r="R29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Ali Asgari</cp:lastModifiedBy>
  <dcterms:created xsi:type="dcterms:W3CDTF">2026-05-12T19:05:27Z</dcterms:created>
  <dcterms:modified xsi:type="dcterms:W3CDTF">2026-08-10T04:36:17Z</dcterms:modified>
</cp:coreProperties>
</file>