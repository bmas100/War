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دربندی\"/>
    </mc:Choice>
  </mc:AlternateContent>
  <xr:revisionPtr revIDLastSave="0" documentId="8_{B1842800-3BDF-4318-9341-C3F748AA056C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K2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R2" i="9" l="1"/>
  <c r="O3" i="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B2" i="7" a="1"/>
  <c r="B21" i="7" a="1"/>
  <c r="B6" i="7" a="1"/>
  <c r="B25" i="7" a="1"/>
  <c r="B5" i="7" a="1"/>
  <c r="B15" i="7" a="1"/>
  <c r="B20" i="7" a="1"/>
  <c r="B7" i="7" a="1"/>
  <c r="B8" i="7" a="1"/>
  <c r="B12" i="7" a="1"/>
  <c r="B19" i="7" a="1"/>
  <c r="B16" i="7" a="1"/>
  <c r="B22" i="7" a="1"/>
  <c r="B10" i="7" a="1"/>
  <c r="B11" i="7" a="1"/>
  <c r="B14" i="7" a="1"/>
  <c r="B17" i="7" a="1"/>
  <c r="B9" i="7" a="1"/>
  <c r="B23" i="7" a="1"/>
  <c r="B24" i="7" a="1"/>
  <c r="B18" i="7" a="1"/>
  <c r="B4" i="7" a="1"/>
  <c r="B16" i="7" l="1"/>
  <c r="B21" i="7"/>
  <c r="B12" i="7"/>
  <c r="B8" i="7"/>
  <c r="B20" i="7"/>
  <c r="B15" i="7"/>
  <c r="B24" i="7"/>
  <c r="B14" i="7"/>
  <c r="B10" i="7"/>
  <c r="B25" i="7"/>
  <c r="B18" i="7"/>
  <c r="B6" i="7"/>
  <c r="B2" i="7"/>
  <c r="B5" i="7"/>
  <c r="B22" i="7"/>
  <c r="B23" i="7"/>
  <c r="B19" i="7"/>
  <c r="B4" i="7"/>
  <c r="B9" i="7"/>
  <c r="B11" i="7"/>
  <c r="B7" i="7"/>
  <c r="B1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<sst xmlns="http://schemas.openxmlformats.org/spreadsheetml/2006/main" count="112" uniqueCount="85">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</sst>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dataDxfId="58" totalsRowDxfId="14"/>
    <tableColumn id="30" xr3:uid="{2C2C7158-B8DA-42F1-82E1-1665232057AD}" name=" روستا های آسیب دیده" dataDxfId="57" totalsRowDxfId="13"/>
    <tableColumn id="4" xr3:uid="{285A0E2C-29D4-497F-A5A1-1C6B648FA22E}" name="تعمیری  نوع 1" dataDxfId="56" totalsRowDxfId="25"/>
    <tableColumn id="5" xr3:uid="{68D05F15-A8E3-42A6-96BA-D51FB2C880DF}" name="تعمیری  نوع 2" dataDxfId="55" totalsRowDxfId="24"/>
    <tableColumn id="6" xr3:uid="{5551C4E8-1CC0-4497-8372-5A189BFD1B69}" name="تعمیری  نوع 3" dataDxfId="54" totalsRowDxfId="23"/>
    <tableColumn id="7" xr3:uid="{6B1711B3-92F0-4ECF-BDCD-63B5F43FCA25}" name="احداثی  " dataDxfId="53" totalsRowDxfId="22"/>
    <tableColumn id="8" xr3:uid="{6C89D5A0-F55B-4A21-B902-2CF2ADB623B1}" name="معیشتی  " dataDxfId="52" totalsRowDxfId="21"/>
    <tableColumn id="9" xr3:uid="{C93A1B6A-26AC-4936-BD1D-CCE0243EAA14}" name="جمع تعمیری  " dataDxfId="51" totalsRowDxfId="20"/>
    <tableColumn id="10" xr3:uid="{1C759F9A-FFDE-46C8-A5E4-89D64D477D40}" name="ارزیابی شهر و روستا  " dataDxfId="50" totalsRowDxfId="19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9" totalsRowDxfId="18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8" totalsRowDxfId="17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7" totalsRowDxfId="12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6" totalsRowDxfId="16"/>
    <tableColumn id="15" xr3:uid="{8FA9E6EB-FB60-4BDE-91B1-02D442E848D8}" name="اعتبار تعمیری (میلیون ریال)  " dataDxfId="45" totalsRowDxfId="15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32"/>
  <sheetViews>
    <sheetView rightToLeft="1"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6" sqref="E16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6019</v>
      </c>
      <c r="G2" s="22">
        <v>38581</v>
      </c>
      <c r="H2" s="22">
        <v>69611</v>
      </c>
      <c r="I2" s="22">
        <v>1419</v>
      </c>
      <c r="J2" s="22">
        <v>32036</v>
      </c>
      <c r="K2" s="22">
        <f>Table3[[#This Row],[تعمیری  نوع 3]]+Table3[[#This Row],[تعمیری  نوع 2]]+Table3[[#This Row],[تعمیری  نوع 1]]</f>
        <v>114211</v>
      </c>
      <c r="L2" s="22">
        <v>128023</v>
      </c>
      <c r="M2" s="22">
        <v>19643</v>
      </c>
      <c r="N2" s="22">
        <v>147666</v>
      </c>
      <c r="O2" s="22">
        <v>250878700</v>
      </c>
      <c r="P2" s="22">
        <v>31434400</v>
      </c>
      <c r="Q2" s="22">
        <v>219408700</v>
      </c>
      <c r="R2" s="22">
        <f>SUM(R3:R26)</f>
        <v>474</v>
      </c>
      <c r="S2" s="22">
        <v>1811</v>
      </c>
      <c r="T2" s="22">
        <v>1811</v>
      </c>
      <c r="U2" s="22">
        <v>48249</v>
      </c>
      <c r="V2" s="22">
        <v>63526</v>
      </c>
      <c r="W2" s="22">
        <v>3259</v>
      </c>
      <c r="X2" s="22">
        <v>1664</v>
      </c>
      <c r="Y2" s="23">
        <v>1664.4000000000005</v>
      </c>
      <c r="Z2" s="22">
        <v>1480</v>
      </c>
      <c r="AA2" s="22">
        <v>465</v>
      </c>
      <c r="AB2" s="22">
        <v>1275</v>
      </c>
      <c r="AC2" s="22">
        <v>333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179</v>
      </c>
      <c r="G3" s="21">
        <v>1683</v>
      </c>
      <c r="H3" s="21">
        <v>6147</v>
      </c>
      <c r="I3" s="21">
        <v>75</v>
      </c>
      <c r="J3" s="21">
        <v>1424</v>
      </c>
      <c r="K3" s="21">
        <f>Table3[[#This Row],[تعمیری  نوع 3]]+Table3[[#This Row],[تعمیری  نوع 2]]+Table3[[#This Row],[تعمیری  نوع 1]]</f>
        <v>8009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38</v>
      </c>
      <c r="T3" s="21">
        <v>792</v>
      </c>
      <c r="U3" s="21">
        <v>3131</v>
      </c>
      <c r="V3" s="21">
        <f>Table3[[#This Row],[تعمیرات نوع 3  ]]+Table3[[#This Row],[تعمیرات نوع 2  ]]+Table3[[#This Row],[تعمیرات نوع 1]]</f>
        <v>3961</v>
      </c>
      <c r="W3" s="21">
        <v>120</v>
      </c>
      <c r="X3" s="21">
        <v>115</v>
      </c>
      <c r="Y3" s="24">
        <v>46.1</v>
      </c>
      <c r="Z3" s="20">
        <v>55</v>
      </c>
      <c r="AA3" s="20">
        <v>36</v>
      </c>
      <c r="AB3" s="20">
        <v>55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590</v>
      </c>
      <c r="G4" s="21">
        <v>3179</v>
      </c>
      <c r="H4" s="21">
        <v>5447</v>
      </c>
      <c r="I4" s="21">
        <v>55</v>
      </c>
      <c r="J4" s="21">
        <v>3363</v>
      </c>
      <c r="K4" s="21">
        <f>Table3[[#This Row],[تعمیری  نوع 3]]+Table3[[#This Row],[تعمیری  نوع 2]]+Table3[[#This Row],[تعمیری  نوع 1]]</f>
        <v>9216</v>
      </c>
      <c r="L4" s="21">
        <v>8370</v>
      </c>
      <c r="M4" s="21">
        <v>4264</v>
      </c>
      <c r="N4" s="21">
        <f>Table3[[#This Row],[ارزیابی کلان‌شهرها  ]]+Table3[[#This Row],[ارزیابی شهر و روستا  ]]</f>
        <v>12634</v>
      </c>
      <c r="O4" s="21">
        <f>Table3[[#This Row],[اعتبار تعمیری (میلیون ریال)  ]]+Table3[[#This Row],[اعتبار احداثی (میلیون ریال)  ]]</f>
        <v>19680200</v>
      </c>
      <c r="P4" s="21">
        <v>1054600</v>
      </c>
      <c r="Q4" s="21">
        <v>18625600</v>
      </c>
      <c r="R4" s="21">
        <v>10</v>
      </c>
      <c r="S4" s="21">
        <v>64</v>
      </c>
      <c r="T4" s="21">
        <v>418</v>
      </c>
      <c r="U4" s="21">
        <v>3018</v>
      </c>
      <c r="V4" s="21">
        <f>Table3[[#This Row],[تعمیرات نوع 3  ]]+Table3[[#This Row],[تعمیرات نوع 2  ]]+Table3[[#This Row],[تعمیرات نوع 1]]</f>
        <v>3500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448</v>
      </c>
      <c r="G5" s="21">
        <v>2255</v>
      </c>
      <c r="H5" s="21">
        <v>2283</v>
      </c>
      <c r="I5" s="21">
        <v>125</v>
      </c>
      <c r="J5" s="21">
        <v>1510</v>
      </c>
      <c r="K5" s="21">
        <f>Table3[[#This Row],[تعمیری  نوع 3]]+Table3[[#This Row],[تعمیری  نوع 2]]+Table3[[#This Row],[تعمیری  نوع 1]]</f>
        <v>4986</v>
      </c>
      <c r="L5" s="21">
        <v>3664</v>
      </c>
      <c r="M5" s="21">
        <v>2957</v>
      </c>
      <c r="N5" s="21">
        <f>Table3[[#This Row],[ارزیابی کلان‌شهرها  ]]+Table3[[#This Row],[ارزیابی شهر و روستا  ]]</f>
        <v>6621</v>
      </c>
      <c r="O5" s="21">
        <f>Table3[[#This Row],[اعتبار تعمیری (میلیون ریال)  ]]+Table3[[#This Row],[اعتبار احداثی (میلیون ریال)  ]]</f>
        <v>15395000</v>
      </c>
      <c r="P5" s="21">
        <v>2680000</v>
      </c>
      <c r="Q5" s="21">
        <v>12715000</v>
      </c>
      <c r="R5" s="21">
        <v>0</v>
      </c>
      <c r="S5" s="21">
        <v>158</v>
      </c>
      <c r="T5" s="21">
        <v>433</v>
      </c>
      <c r="U5" s="21">
        <v>1989</v>
      </c>
      <c r="V5" s="21">
        <f>Table3[[#This Row],[تعمیرات نوع 3  ]]+Table3[[#This Row],[تعمیرات نوع 2  ]]+Table3[[#This Row],[تعمیرات نوع 1]]</f>
        <v>2580</v>
      </c>
      <c r="W5" s="21">
        <v>189</v>
      </c>
      <c r="X5" s="21">
        <v>189</v>
      </c>
      <c r="Y5" s="24">
        <v>116.6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356</v>
      </c>
      <c r="G6" s="21">
        <v>4325</v>
      </c>
      <c r="H6" s="21">
        <v>3193</v>
      </c>
      <c r="I6" s="21">
        <v>69</v>
      </c>
      <c r="J6" s="21">
        <v>3393</v>
      </c>
      <c r="K6" s="21">
        <f>Table3[[#This Row],[تعمیری  نوع 3]]+Table3[[#This Row],[تعمیری  نوع 2]]+Table3[[#This Row],[تعمیری  نوع 1]]</f>
        <v>7874</v>
      </c>
      <c r="L6" s="21">
        <v>10265</v>
      </c>
      <c r="M6" s="21">
        <v>1071</v>
      </c>
      <c r="N6" s="21">
        <f>Table3[[#This Row],[ارزیابی کلان‌شهرها  ]]+Table3[[#This Row],[ارزیابی شهر و روستا  ]]</f>
        <v>11336</v>
      </c>
      <c r="O6" s="21">
        <f>Table3[[#This Row],[اعتبار تعمیری (میلیون ریال)  ]]+Table3[[#This Row],[اعتبار احداثی (میلیون ریال)  ]]</f>
        <v>22275900</v>
      </c>
      <c r="P6" s="21">
        <v>1564800</v>
      </c>
      <c r="Q6" s="21">
        <v>20711100</v>
      </c>
      <c r="R6" s="21">
        <v>23</v>
      </c>
      <c r="S6" s="21">
        <v>24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3556</v>
      </c>
      <c r="W6" s="21">
        <v>138</v>
      </c>
      <c r="X6" s="21">
        <v>128</v>
      </c>
      <c r="Y6" s="24">
        <v>68.099999999999994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213</v>
      </c>
      <c r="G7" s="21">
        <v>122</v>
      </c>
      <c r="H7" s="21">
        <v>130</v>
      </c>
      <c r="I7" s="21">
        <v>12</v>
      </c>
      <c r="J7" s="21">
        <v>158</v>
      </c>
      <c r="K7" s="21">
        <f>Table3[[#This Row],[تعمیری  نوع 3]]+Table3[[#This Row],[تعمیری  نوع 2]]+Table3[[#This Row],[تعمیری  نوع 1]]</f>
        <v>465</v>
      </c>
      <c r="L7" s="21">
        <v>382</v>
      </c>
      <c r="M7" s="21">
        <v>253</v>
      </c>
      <c r="N7" s="21">
        <f>Table3[[#This Row],[ارزیابی کلان‌شهرها  ]]+Table3[[#This Row],[ارزیابی شهر و روستا  ]]</f>
        <v>635</v>
      </c>
      <c r="O7" s="21">
        <f>Table3[[#This Row],[اعتبار تعمیری (میلیون ریال)  ]]+Table3[[#This Row],[اعتبار احداثی (میلیون ریال)  ]]</f>
        <v>2231100</v>
      </c>
      <c r="P7" s="21">
        <v>300000</v>
      </c>
      <c r="Q7" s="21">
        <v>1931100</v>
      </c>
      <c r="R7" s="21">
        <v>4</v>
      </c>
      <c r="S7" s="21">
        <v>25</v>
      </c>
      <c r="T7" s="21">
        <v>34</v>
      </c>
      <c r="U7" s="21">
        <v>72</v>
      </c>
      <c r="V7" s="21">
        <f>Table3[[#This Row],[تعمیرات نوع 3  ]]+Table3[[#This Row],[تعمیرات نوع 2  ]]+Table3[[#This Row],[تعمیرات نوع 1]]</f>
        <v>131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598</v>
      </c>
      <c r="K8" s="21">
        <f>Table3[[#This Row],[تعمیری  نوع 3]]+Table3[[#This Row],[تعمیری  نوع 2]]+Table3[[#This Row],[تعمیری  نوع 1]]</f>
        <v>2481</v>
      </c>
      <c r="L8" s="21">
        <v>63</v>
      </c>
      <c r="M8" s="21">
        <v>3042</v>
      </c>
      <c r="N8" s="21">
        <f>Table3[[#This Row],[ارزیابی کلان‌شهرها  ]]+Table3[[#This Row],[ارزیابی شهر و روستا  ]]</f>
        <v>3105</v>
      </c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f>Table3[[#This Row],[تعمیرات نوع 3  ]]+Table3[[#This Row],[تعمیرات نوع 2  ]]+Table3[[#This Row],[تعمیرات نوع 1]]</f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455</v>
      </c>
      <c r="G9" s="21">
        <v>1367</v>
      </c>
      <c r="H9" s="21">
        <v>13044</v>
      </c>
      <c r="I9" s="21">
        <v>168</v>
      </c>
      <c r="J9" s="21">
        <v>2677</v>
      </c>
      <c r="K9" s="21">
        <f>Table3[[#This Row],[تعمیری  نوع 3]]+Table3[[#This Row],[تعمیری  نوع 2]]+Table3[[#This Row],[تعمیری  نوع 1]]</f>
        <v>14866</v>
      </c>
      <c r="L9" s="21">
        <v>13036</v>
      </c>
      <c r="M9" s="21">
        <v>4675</v>
      </c>
      <c r="N9" s="21">
        <f>Table3[[#This Row],[ارزیابی کلان‌شهرها  ]]+Table3[[#This Row],[ارزیابی شهر و روستا  ]]</f>
        <v>17711</v>
      </c>
      <c r="O9" s="21">
        <f>Table3[[#This Row],[اعتبار تعمیری (میلیون ریال)  ]]+Table3[[#This Row],[اعتبار احداثی (میلیون ریال)  ]]</f>
        <v>19031900</v>
      </c>
      <c r="P9" s="21">
        <v>3968600</v>
      </c>
      <c r="Q9" s="21">
        <v>15063300</v>
      </c>
      <c r="R9" s="21">
        <v>105</v>
      </c>
      <c r="S9" s="21">
        <v>166</v>
      </c>
      <c r="T9" s="21">
        <v>683</v>
      </c>
      <c r="U9" s="21">
        <v>10170</v>
      </c>
      <c r="V9" s="21">
        <f>Table3[[#This Row],[تعمیرات نوع 3  ]]+Table3[[#This Row],[تعمیرات نوع 2  ]]+Table3[[#This Row],[تعمیرات نوع 1]]</f>
        <v>11019</v>
      </c>
      <c r="W9" s="21">
        <v>497</v>
      </c>
      <c r="X9" s="21">
        <v>477</v>
      </c>
      <c r="Y9" s="24">
        <v>297.5</v>
      </c>
      <c r="Z9" s="20">
        <v>167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f>Table3[[#This Row],[تعمیری  نوع 3]]+Table3[[#This Row],[تعمیری  نوع 2]]+Table3[[#This Row],[تعمیری  نوع 1]]</f>
        <v>10766</v>
      </c>
      <c r="L10" s="21">
        <v>14760</v>
      </c>
      <c r="M10" s="21">
        <v>0</v>
      </c>
      <c r="N10" s="21">
        <f>Table3[[#This Row],[ارزیابی کلان‌شهرها  ]]+Table3[[#This Row],[ارزیابی شهر و روستا  ]]</f>
        <v>14760</v>
      </c>
      <c r="O10" s="21">
        <f>Table3[[#This Row],[اعتبار تعمیری (میلیون ریال)  ]]+Table3[[#This Row],[اعتبار احداثی (میلیون ریال)  ]]</f>
        <v>29227900</v>
      </c>
      <c r="P10" s="21">
        <v>4069400</v>
      </c>
      <c r="Q10" s="21">
        <v>25158500</v>
      </c>
      <c r="R10" s="21">
        <v>47</v>
      </c>
      <c r="S10" s="21">
        <v>290</v>
      </c>
      <c r="T10" s="21">
        <v>3494</v>
      </c>
      <c r="U10" s="21">
        <v>4789</v>
      </c>
      <c r="V10" s="21">
        <f>Table3[[#This Row],[تعمیرات نوع 3  ]]+Table3[[#This Row],[تعمیرات نوع 2  ]]+Table3[[#This Row],[تعمیرات نوع 1]]</f>
        <v>8573</v>
      </c>
      <c r="W10" s="21">
        <v>309</v>
      </c>
      <c r="X10" s="21">
        <v>279</v>
      </c>
      <c r="Y10" s="24">
        <v>154</v>
      </c>
      <c r="Z10" s="20">
        <v>182</v>
      </c>
      <c r="AA10" s="20">
        <v>8</v>
      </c>
      <c r="AB10" s="20">
        <v>123</v>
      </c>
      <c r="AC10" s="20">
        <v>4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f>Table3[[#This Row],[تعمیری  نوع 3]]+Table3[[#This Row],[تعمیری  نوع 2]]+Table3[[#This Row],[تعمیری  نوع 1]]</f>
        <v>9250</v>
      </c>
      <c r="L11" s="21">
        <v>12337</v>
      </c>
      <c r="M11" s="21">
        <v>0</v>
      </c>
      <c r="N11" s="21">
        <f>Table3[[#This Row],[ارزیابی کلان‌شهرها  ]]+Table3[[#This Row],[ارزیابی شهر و روستا  ]]</f>
        <v>12337</v>
      </c>
      <c r="O11" s="21">
        <f>Table3[[#This Row],[اعتبار تعمیری (میلیون ریال)  ]]+Table3[[#This Row],[اعتبار احداثی (میلیون ریال)  ]]</f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f>Table3[[#This Row],[تعمیرات نوع 3  ]]+Table3[[#This Row],[تعمیرات نوع 2  ]]+Table3[[#This Row],[تعمیرات نوع 1]]</f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14</v>
      </c>
      <c r="G12" s="21">
        <v>3562</v>
      </c>
      <c r="H12" s="21">
        <v>2694</v>
      </c>
      <c r="I12" s="21">
        <v>2</v>
      </c>
      <c r="J12" s="21">
        <v>1722</v>
      </c>
      <c r="K12" s="21">
        <f>Table3[[#This Row],[تعمیری  نوع 3]]+Table3[[#This Row],[تعمیری  نوع 2]]+Table3[[#This Row],[تعمیری  نوع 1]]</f>
        <v>6270</v>
      </c>
      <c r="L12" s="21">
        <v>7994</v>
      </c>
      <c r="M12" s="21">
        <v>0</v>
      </c>
      <c r="N12" s="21">
        <f>Table3[[#This Row],[ارزیابی کلان‌شهرها  ]]+Table3[[#This Row],[ارزیابی شهر و روستا  ]]</f>
        <v>7994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2268</v>
      </c>
      <c r="U12" s="21">
        <v>2135</v>
      </c>
      <c r="V12" s="21">
        <f>Table3[[#This Row],[تعمیرات نوع 3  ]]+Table3[[#This Row],[تعمیرات نوع 2  ]]+Table3[[#This Row],[تعمیرات نوع 1]]</f>
        <v>4407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f>Table3[[#This Row],[تعمیری  نوع 3]]+Table3[[#This Row],[تعمیری  نوع 2]]+Table3[[#This Row],[تعمیری  نوع 1]]</f>
        <v>1595</v>
      </c>
      <c r="L13" s="21">
        <v>1842</v>
      </c>
      <c r="M13" s="21">
        <v>0</v>
      </c>
      <c r="N13" s="21">
        <f>Table3[[#This Row],[ارزیابی کلان‌شهرها  ]]+Table3[[#This Row],[ارزیابی شهر و روستا  ]]</f>
        <v>1842</v>
      </c>
      <c r="O13" s="21">
        <f>Table3[[#This Row],[اعتبار تعمیری (میلیون ریال)  ]]+Table3[[#This Row],[اعتبار احداثی (میلیون ریال)  ]]</f>
        <v>3204400</v>
      </c>
      <c r="P13" s="21">
        <v>539800</v>
      </c>
      <c r="Q13" s="21">
        <v>2664600</v>
      </c>
      <c r="R13" s="21">
        <v>7</v>
      </c>
      <c r="S13" s="21">
        <v>34</v>
      </c>
      <c r="T13" s="21">
        <v>298</v>
      </c>
      <c r="U13" s="21">
        <v>657</v>
      </c>
      <c r="V13" s="21">
        <f>Table3[[#This Row],[تعمیرات نوع 3  ]]+Table3[[#This Row],[تعمیرات نوع 2  ]]+Table3[[#This Row],[تعمیرات نوع 1]]</f>
        <v>989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f>Table3[[#This Row],[تعمیری  نوع 3]]+Table3[[#This Row],[تعمیری  نوع 2]]+Table3[[#This Row],[تعمیری  نوع 1]]</f>
        <v>751</v>
      </c>
      <c r="L14" s="21">
        <v>1150</v>
      </c>
      <c r="M14" s="21">
        <v>0</v>
      </c>
      <c r="N14" s="21">
        <f>Table3[[#This Row],[ارزیابی کلان‌شهرها  ]]+Table3[[#This Row],[ارزیابی شهر و روستا  ]]</f>
        <v>1150</v>
      </c>
      <c r="O14" s="21">
        <f>Table3[[#This Row],[اعتبار تعمیری (میلیون ریال)  ]]+Table3[[#This Row],[اعتبار احداثی (میلیون ریال)  ]]</f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27</v>
      </c>
      <c r="Y14" s="24">
        <v>12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666</v>
      </c>
      <c r="G15" s="21">
        <v>3519</v>
      </c>
      <c r="H15" s="21">
        <v>8819</v>
      </c>
      <c r="I15" s="21">
        <v>149</v>
      </c>
      <c r="J15" s="21">
        <v>2953</v>
      </c>
      <c r="K15" s="21">
        <f>Table3[[#This Row],[تعمیری  نوع 3]]+Table3[[#This Row],[تعمیری  نوع 2]]+Table3[[#This Row],[تعمیری  نوع 1]]</f>
        <v>13004</v>
      </c>
      <c r="L15" s="21">
        <v>16106</v>
      </c>
      <c r="M15" s="21">
        <v>0</v>
      </c>
      <c r="N15" s="21">
        <f>Table3[[#This Row],[ارزیابی کلان‌شهرها  ]]+Table3[[#This Row],[ارزیابی شهر و روستا  ]]</f>
        <v>16106</v>
      </c>
      <c r="O15" s="21">
        <f>Table3[[#This Row],[اعتبار تعمیری (میلیون ریال)  ]]+Table3[[#This Row],[اعتبار احداثی (میلیون ریال)  ]]</f>
        <v>25029100</v>
      </c>
      <c r="P15" s="21">
        <v>2852800</v>
      </c>
      <c r="Q15" s="21">
        <v>22176300</v>
      </c>
      <c r="R15" s="21">
        <v>64</v>
      </c>
      <c r="S15" s="21">
        <v>204</v>
      </c>
      <c r="T15" s="21">
        <v>1278</v>
      </c>
      <c r="U15" s="21">
        <v>6605</v>
      </c>
      <c r="V15" s="21">
        <f>Table3[[#This Row],[تعمیرات نوع 3  ]]+Table3[[#This Row],[تعمیرات نوع 2  ]]+Table3[[#This Row],[تعمیرات نوع 1]]</f>
        <v>8087</v>
      </c>
      <c r="W15" s="21">
        <v>193</v>
      </c>
      <c r="X15" s="21">
        <v>175</v>
      </c>
      <c r="Y15" s="24">
        <v>103.8</v>
      </c>
      <c r="Z15" s="20">
        <v>154</v>
      </c>
      <c r="AA15" s="20">
        <v>8</v>
      </c>
      <c r="AB15" s="20">
        <v>83</v>
      </c>
      <c r="AC15" s="20">
        <v>8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561</v>
      </c>
      <c r="G16" s="21">
        <v>3378</v>
      </c>
      <c r="H16" s="21">
        <v>3096</v>
      </c>
      <c r="I16" s="21">
        <v>135</v>
      </c>
      <c r="J16" s="21">
        <v>2140</v>
      </c>
      <c r="K16" s="21">
        <f>Table3[[#This Row],[تعمیری  نوع 3]]+Table3[[#This Row],[تعمیری  نوع 2]]+Table3[[#This Row],[تعمیری  نوع 1]]</f>
        <v>7035</v>
      </c>
      <c r="L16" s="21">
        <v>9310</v>
      </c>
      <c r="M16" s="21">
        <v>0</v>
      </c>
      <c r="N16" s="21">
        <f>Table3[[#This Row],[ارزیابی کلان‌شهرها  ]]+Table3[[#This Row],[ارزیابی شهر و روستا  ]]</f>
        <v>9310</v>
      </c>
      <c r="O16" s="21">
        <f>Table3[[#This Row],[اعتبار تعمیری (میلیون ریال)  ]]+Table3[[#This Row],[اعتبار احداثی (میلیون ریال)  ]]</f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1020</v>
      </c>
      <c r="V16" s="21">
        <f>Table3[[#This Row],[تعمیرات نوع 3  ]]+Table3[[#This Row],[تعمیرات نوع 2  ]]+Table3[[#This Row],[تعمیرات نوع 1]]</f>
        <v>1187</v>
      </c>
      <c r="W16" s="21">
        <v>250</v>
      </c>
      <c r="X16" s="21">
        <v>227</v>
      </c>
      <c r="Y16" s="24">
        <v>141.5</v>
      </c>
      <c r="Z16" s="20">
        <v>159</v>
      </c>
      <c r="AA16" s="20">
        <v>18</v>
      </c>
      <c r="AB16" s="20">
        <v>128</v>
      </c>
      <c r="AC16" s="20">
        <v>18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212</v>
      </c>
      <c r="G17" s="21">
        <v>1169</v>
      </c>
      <c r="H17" s="21">
        <v>1760</v>
      </c>
      <c r="I17" s="21">
        <v>57</v>
      </c>
      <c r="J17" s="21">
        <v>985</v>
      </c>
      <c r="K17" s="21">
        <f>Table3[[#This Row],[تعمیری  نوع 3]]+Table3[[#This Row],[تعمیری  نوع 2]]+Table3[[#This Row],[تعمیری  نوع 1]]</f>
        <v>3141</v>
      </c>
      <c r="L17" s="21">
        <v>4183</v>
      </c>
      <c r="M17" s="21">
        <v>0</v>
      </c>
      <c r="N17" s="21">
        <f>Table3[[#This Row],[ارزیابی کلان‌شهرها  ]]+Table3[[#This Row],[ارزیابی شهر و روستا  ]]</f>
        <v>4183</v>
      </c>
      <c r="O17" s="21">
        <f>Table3[[#This Row],[اعتبار تعمیری (میلیون ریال)  ]]+Table3[[#This Row],[اعتبار احداثی (میلیون ریال)  ]]</f>
        <v>8231100</v>
      </c>
      <c r="P17" s="21">
        <v>1407200</v>
      </c>
      <c r="Q17" s="21">
        <v>6823900</v>
      </c>
      <c r="R17" s="21">
        <v>28</v>
      </c>
      <c r="S17" s="21">
        <v>45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1649</v>
      </c>
      <c r="W17" s="21">
        <v>114</v>
      </c>
      <c r="X17" s="21">
        <v>104</v>
      </c>
      <c r="Y17" s="24">
        <v>67.900000000000006</v>
      </c>
      <c r="Z17" s="20">
        <v>97</v>
      </c>
      <c r="AA17" s="20">
        <v>42</v>
      </c>
      <c r="AB17" s="20">
        <v>63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f>Table3[[#This Row],[تعمیری  نوع 3]]+Table3[[#This Row],[تعمیری  نوع 2]]+Table3[[#This Row],[تعمیری  نوع 1]]</f>
        <v>2014</v>
      </c>
      <c r="L18" s="21">
        <v>2508</v>
      </c>
      <c r="M18" s="21">
        <v>0</v>
      </c>
      <c r="N18" s="21">
        <f>Table3[[#This Row],[ارزیابی کلان‌شهرها  ]]+Table3[[#This Row],[ارزیابی شهر و روستا  ]]</f>
        <v>2508</v>
      </c>
      <c r="O18" s="21">
        <f>Table3[[#This Row],[اعتبار تعمیری (میلیون ریال)  ]]+Table3[[#This Row],[اعتبار احداثی (میلیون ریال)  ]]</f>
        <v>5734400</v>
      </c>
      <c r="P18" s="21">
        <v>811000</v>
      </c>
      <c r="Q18" s="21">
        <v>4923400</v>
      </c>
      <c r="R18" s="21">
        <v>8</v>
      </c>
      <c r="S18" s="21">
        <v>44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1904</v>
      </c>
      <c r="W18" s="21">
        <v>80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557</v>
      </c>
      <c r="G19" s="21">
        <v>4178</v>
      </c>
      <c r="H19" s="21">
        <v>5543</v>
      </c>
      <c r="I19" s="21">
        <v>141</v>
      </c>
      <c r="J19" s="21">
        <v>2757</v>
      </c>
      <c r="K19" s="21">
        <f>Table3[[#This Row],[تعمیری  نوع 3]]+Table3[[#This Row],[تعمیری  نوع 2]]+Table3[[#This Row],[تعمیری  نوع 1]]</f>
        <v>10278</v>
      </c>
      <c r="L19" s="21">
        <v>13176</v>
      </c>
      <c r="M19" s="21">
        <v>0</v>
      </c>
      <c r="N19" s="21">
        <f>Table3[[#This Row],[ارزیابی کلان‌شهرها  ]]+Table3[[#This Row],[ارزیابی شهر و روستا  ]]</f>
        <v>13176</v>
      </c>
      <c r="O19" s="21">
        <f>Table3[[#This Row],[اعتبار تعمیری (میلیون ریال)  ]]+Table3[[#This Row],[اعتبار احداثی (میلیون ریال)  ]]</f>
        <v>25459100</v>
      </c>
      <c r="P19" s="21">
        <v>3400400</v>
      </c>
      <c r="Q19" s="21">
        <v>22058700</v>
      </c>
      <c r="R19" s="21">
        <v>0</v>
      </c>
      <c r="S19" s="21">
        <v>312</v>
      </c>
      <c r="T19" s="21">
        <v>1886</v>
      </c>
      <c r="U19" s="21">
        <v>5493</v>
      </c>
      <c r="V19" s="21">
        <f>Table3[[#This Row],[تعمیرات نوع 3  ]]+Table3[[#This Row],[تعمیرات نوع 2  ]]+Table3[[#This Row],[تعمیرات نوع 1]]</f>
        <v>7691</v>
      </c>
      <c r="W19" s="21">
        <v>511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f>Table3[[#This Row],[تعمیری  نوع 3]]+Table3[[#This Row],[تعمیری  نوع 2]]+Table3[[#This Row],[تعمیری  نوع 1]]</f>
        <v>200</v>
      </c>
      <c r="L20" s="21">
        <v>224</v>
      </c>
      <c r="M20" s="21">
        <v>0</v>
      </c>
      <c r="N20" s="21">
        <f>Table3[[#This Row],[ارزیابی کلان‌شهرها  ]]+Table3[[#This Row],[ارزیابی شهر و روستا  ]]</f>
        <v>224</v>
      </c>
      <c r="O20" s="21">
        <f>Table3[[#This Row],[اعتبار تعمیری (میلیون ریال)  ]]+Table3[[#This Row],[اعتبار احداثی (میلیون ریال)  ]]</f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81</v>
      </c>
      <c r="U20" s="21">
        <v>39</v>
      </c>
      <c r="V20" s="21">
        <f>Table3[[#This Row],[تعمیرات نوع 3  ]]+Table3[[#This Row],[تعمیرات نوع 2  ]]+Table3[[#This Row],[تعمیرات نوع 1]]</f>
        <v>121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f>Table3[[#This Row],[تعمیری  نوع 3]]+Table3[[#This Row],[تعمیری  نوع 2]]+Table3[[#This Row],[تعمیری  نوع 1]]</f>
        <v>30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f>Table3[[#This Row],[تعمیری  نوع 3]]+Table3[[#This Row],[تعمیری  نوع 2]]+Table3[[#This Row],[تعمیری  نوع 1]]</f>
        <v>625</v>
      </c>
      <c r="L22" s="21">
        <v>642</v>
      </c>
      <c r="M22" s="21">
        <v>0</v>
      </c>
      <c r="N22" s="21">
        <f>Table3[[#This Row],[ارزیابی کلان‌شهرها  ]]+Table3[[#This Row],[ارزیابی شهر و روستا  ]]</f>
        <v>642</v>
      </c>
      <c r="O22" s="21">
        <f>Table3[[#This Row],[اعتبار تعمیری (میلیون ریال)  ]]+Table3[[#This Row],[اعتبار احداثی (میلیون ریال)  ]]</f>
        <v>532900</v>
      </c>
      <c r="P22" s="21">
        <v>21600</v>
      </c>
      <c r="Q22" s="21">
        <v>511300</v>
      </c>
      <c r="R22" s="21">
        <v>0</v>
      </c>
      <c r="S22" s="21">
        <v>0</v>
      </c>
      <c r="T22" s="21">
        <v>66</v>
      </c>
      <c r="U22" s="21">
        <v>295</v>
      </c>
      <c r="V22" s="21">
        <f>Table3[[#This Row],[تعمیرات نوع 3  ]]+Table3[[#This Row],[تعمیرات نوع 2  ]]+Table3[[#This Row],[تعمیرات نوع 1]]</f>
        <v>361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f>Table3[[#This Row],[تعمیری  نوع 3]]+Table3[[#This Row],[تعمیری  نوع 2]]+Table3[[#This Row],[تعمیری  نوع 1]]</f>
        <v>84</v>
      </c>
      <c r="L23" s="21">
        <v>113</v>
      </c>
      <c r="M23" s="21">
        <v>0</v>
      </c>
      <c r="N23" s="21">
        <f>Table3[[#This Row],[ارزیابی کلان‌شهرها  ]]+Table3[[#This Row],[ارزیابی شهر و روستا  ]]</f>
        <v>113</v>
      </c>
      <c r="O23" s="21">
        <f>Table3[[#This Row],[اعتبار تعمیری (میلیون ریال)  ]]+Table3[[#This Row],[اعتبار احداثی (میلیون ریال)  ]]</f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f>Table3[[#This Row],[تعمیری  نوع 3]]+Table3[[#This Row],[تعمیری  نوع 2]]+Table3[[#This Row],[تعمیری  نوع 1]]</f>
        <v>138</v>
      </c>
      <c r="L24" s="21">
        <v>165</v>
      </c>
      <c r="M24" s="21">
        <v>0</v>
      </c>
      <c r="N24" s="21">
        <f>Table3[[#This Row],[ارزیابی کلان‌شهرها  ]]+Table3[[#This Row],[ارزیابی شهر و روستا  ]]</f>
        <v>165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1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f>Table3[[#This Row],[تعمیری  نوع 3]]+Table3[[#This Row],[تعمیری  نوع 2]]+Table3[[#This Row],[تعمیری  نوع 1]]</f>
        <v>809</v>
      </c>
      <c r="L25" s="21">
        <v>1125</v>
      </c>
      <c r="M25" s="21">
        <v>0</v>
      </c>
      <c r="N25" s="21">
        <f>Table3[[#This Row],[ارزیابی کلان‌شهرها  ]]+Table3[[#This Row],[ارزیابی شهر و روستا  ]]</f>
        <v>1125</v>
      </c>
      <c r="O25" s="21">
        <f>Table3[[#This Row],[اعتبار تعمیری (میلیون ریال)  ]]+Table3[[#This Row],[اعتبار احداثی (میلیون ریال)  ]]</f>
        <v>2113800</v>
      </c>
      <c r="P25" s="21">
        <v>978800</v>
      </c>
      <c r="Q25" s="21">
        <v>1135000</v>
      </c>
      <c r="R25" s="21">
        <v>15</v>
      </c>
      <c r="S25" s="21">
        <v>3</v>
      </c>
      <c r="T25" s="21">
        <v>10</v>
      </c>
      <c r="U25" s="21">
        <v>175</v>
      </c>
      <c r="V25" s="21">
        <f>Table3[[#This Row],[تعمیرات نوع 3  ]]+Table3[[#This Row],[تعمیرات نوع 2  ]]+Table3[[#This Row],[تعمیرات نوع 1]]</f>
        <v>188</v>
      </c>
      <c r="W25" s="21">
        <v>351</v>
      </c>
      <c r="X25" s="21">
        <v>273</v>
      </c>
      <c r="Y25" s="24">
        <v>190.6</v>
      </c>
      <c r="Z25" s="20">
        <v>137</v>
      </c>
      <c r="AA25" s="20">
        <v>124</v>
      </c>
      <c r="AB25" s="20">
        <v>137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25</v>
      </c>
      <c r="G26" s="21">
        <v>51</v>
      </c>
      <c r="H26" s="21">
        <v>248</v>
      </c>
      <c r="I26" s="21">
        <v>3</v>
      </c>
      <c r="J26" s="21">
        <v>105</v>
      </c>
      <c r="K26" s="21">
        <f>Table3[[#This Row],[تعمیری  نوع 3]]+Table3[[#This Row],[تعمیری  نوع 2]]+Table3[[#This Row],[تعمیری  نوع 1]]</f>
        <v>324</v>
      </c>
      <c r="L26" s="21">
        <v>432</v>
      </c>
      <c r="M26" s="21">
        <v>0</v>
      </c>
      <c r="N26" s="21">
        <f>Table3[[#This Row],[ارزیابی کلان‌شهرها  ]]+Table3[[#This Row],[ارزیابی شهر و روستا  ]]</f>
        <v>432</v>
      </c>
      <c r="O26" s="21">
        <f>Table3[[#This Row],[اعتبار تعمیری (میلیون ریال)  ]]+Table3[[#This Row],[اعتبار احداثی (میلیون ریال)  ]]</f>
        <v>578100</v>
      </c>
      <c r="P26" s="21">
        <v>75000</v>
      </c>
      <c r="Q26" s="21">
        <v>503100</v>
      </c>
      <c r="R26" s="21">
        <v>1</v>
      </c>
      <c r="S26" s="21">
        <v>13</v>
      </c>
      <c r="T26" s="21">
        <v>23</v>
      </c>
      <c r="U26" s="21">
        <v>118</v>
      </c>
      <c r="V26" s="21">
        <f>Table3[[#This Row],[تعمیرات نوع 3  ]]+Table3[[#This Row],[تعمیرات نوع 2  ]]+Table3[[#This Row],[تعمیرات نوع 1]]</f>
        <v>154</v>
      </c>
      <c r="W26" s="21">
        <v>6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>
        <f>Table3[[#This Row],[تعمیرات نوع 3  ]]+Table3[[#This Row],[تعمیرات نوع 2  ]]+Table3[[#This Row],[تعمیرات نوع 1]]</f>
        <v>0</v>
      </c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x14ac:dyDescent="0.2">
      <c r="O29" s="19"/>
      <c r="R29" s="19"/>
    </row>
    <row r="30" spans="1:29" x14ac:dyDescent="0.2">
      <c r="O30" s="19"/>
    </row>
    <row r="32" spans="1:29" x14ac:dyDescent="0.2">
      <c r="Q32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2026-08-15T06:37:49Z</dcterms:modified>
</cp:coreProperties>
</file>