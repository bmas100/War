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kazemi\Desktop\"/>
    </mc:Choice>
  </mc:AlternateContent>
  <xr:revisionPtr revIDLastSave="0" documentId="13_ncr:1_{666019A7-11A4-4DCD-A052-AE0BA3E06F14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9" l="1"/>
  <c r="V3" i="9" l="1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K3" i="9" l="1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K2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O3" i="9" l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B8" i="7" a="1"/>
  <c r="B5" i="7" a="1"/>
  <c r="B12" i="7" a="1"/>
  <c r="B15" i="7" a="1"/>
  <c r="B7" i="7" a="1"/>
  <c r="B19" i="7" a="1"/>
  <c r="B4" i="7" a="1"/>
  <c r="B22" i="7" a="1"/>
  <c r="B10" i="7" a="1"/>
  <c r="B18" i="7" a="1"/>
  <c r="B16" i="7" a="1"/>
  <c r="B9" i="7" a="1"/>
  <c r="B11" i="7" a="1"/>
  <c r="B20" i="7" a="1"/>
  <c r="B14" i="7" a="1"/>
  <c r="B17" i="7" a="1"/>
  <c r="B23" i="7" a="1"/>
  <c r="B24" i="7" a="1"/>
  <c r="B2" i="7" a="1"/>
  <c r="B21" i="7" a="1"/>
  <c r="B6" i="7" a="1"/>
  <c r="B25" i="7" a="1"/>
  <c r="B16" i="7" l="1"/>
  <c r="B21" i="7"/>
  <c r="B12" i="7"/>
  <c r="B8" i="7"/>
  <c r="B20" i="7"/>
  <c r="B15" i="7"/>
  <c r="B24" i="7"/>
  <c r="B14" i="7"/>
  <c r="B10" i="7"/>
  <c r="B25" i="7"/>
  <c r="B18" i="7"/>
  <c r="B6" i="7"/>
  <c r="B2" i="7"/>
  <c r="B5" i="7"/>
  <c r="B22" i="7"/>
  <c r="B23" i="7"/>
  <c r="B19" i="7"/>
  <c r="B4" i="7"/>
  <c r="B9" i="7"/>
  <c r="B11" i="7"/>
  <c r="B7" i="7"/>
  <c r="B17" i="7"/>
  <c r="Q5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<sst xmlns="http://schemas.openxmlformats.org/spreadsheetml/2006/main" count="112" uniqueCount="85">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</sst>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0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  <font>
      <sz val="11"/>
      <color theme="1"/>
      <name val="B Traffic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8" totalsRowCount="1" headerRowDxfId="65" dataDxfId="63" totalsRowDxfId="62" headerRowBorderDxfId="64">
  <autoFilter ref="A1:AC27" xr:uid="{6E6717F1-F1A4-4F16-8044-A9875CFC245B}"/>
  <tableColumns count="29">
    <tableColumn id="1" xr3:uid="{2FB7AC62-7D8B-48CA-88D0-FDD3661FEABF}" name="ردیف" dataDxfId="61" totalsRowDxfId="28"/>
    <tableColumn id="3" xr3:uid="{AB87C0B4-9201-4F40-A792-90EC502B5EA6}" name="نام استان" dataDxfId="60" totalsRowDxfId="27"/>
    <tableColumn id="2" xr3:uid="{53A50CBC-5B42-4ACA-A29E-D0A5E8A55E8C}" name="تاریخ گزارش" dataDxfId="59" totalsRowDxfId="26"/>
    <tableColumn id="29" xr3:uid="{C81548B6-C49B-4433-B040-1475500B0B58}" name="شهرهای آسسیب دیده" dataDxfId="58" totalsRowDxfId="25"/>
    <tableColumn id="30" xr3:uid="{2C2C7158-B8DA-42F1-82E1-1665232057AD}" name=" روستا های آسیب دیده" dataDxfId="57" totalsRowDxfId="24"/>
    <tableColumn id="4" xr3:uid="{285A0E2C-29D4-497F-A5A1-1C6B648FA22E}" name="تعمیری  نوع 1" dataDxfId="56" totalsRowDxfId="23"/>
    <tableColumn id="5" xr3:uid="{68D05F15-A8E3-42A6-96BA-D51FB2C880DF}" name="تعمیری  نوع 2" dataDxfId="55" totalsRowDxfId="22"/>
    <tableColumn id="6" xr3:uid="{5551C4E8-1CC0-4497-8372-5A189BFD1B69}" name="تعمیری  نوع 3" dataDxfId="54" totalsRowDxfId="21"/>
    <tableColumn id="7" xr3:uid="{6B1711B3-92F0-4ECF-BDCD-63B5F43FCA25}" name="احداثی  " dataDxfId="53" totalsRowDxfId="20"/>
    <tableColumn id="8" xr3:uid="{6C89D5A0-F55B-4A21-B902-2CF2ADB623B1}" name="معیشتی  " dataDxfId="52" totalsRowDxfId="19"/>
    <tableColumn id="9" xr3:uid="{C93A1B6A-26AC-4936-BD1D-CCE0243EAA14}" name="جمع تعمیری  " dataDxfId="51" totalsRowDxfId="18"/>
    <tableColumn id="10" xr3:uid="{1C759F9A-FFDE-46C8-A5E4-89D64D477D40}" name="ارزیابی شهر و روستا  " dataDxfId="50" totalsRowDxfId="17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49" totalsRowDxfId="16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48" totalsRowDxfId="15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47" totalsRowDxfId="14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46" totalsRowDxfId="13"/>
    <tableColumn id="15" xr3:uid="{8FA9E6EB-FB60-4BDE-91B1-02D442E848D8}" name="اعتبار تعمیری (میلیون ریال)  " dataDxfId="45" totalsRowDxfId="12"/>
    <tableColumn id="16" xr3:uid="{2D320D05-15FC-4552-8816-11C0EABC7510}" name="آواربرداری " dataDxfId="44" totalsRowDxfId="11"/>
    <tableColumn id="18" xr3:uid="{A6A367B0-5877-4C4D-84A1-46F620BB5F2D}" name="تعمیرات نوع 1" dataDxfId="43" totalsRowDxfId="10"/>
    <tableColumn id="19" xr3:uid="{C87F0913-9A88-4382-AF17-1BDD17C792DC}" name="تعمیرات نوع 2  " dataDxfId="42" totalsRowDxfId="9"/>
    <tableColumn id="20" xr3:uid="{79BC17B2-D487-4CF3-89C1-3129A9B5ACAE}" name="تعمیرات نوع 3  " dataDxfId="41" totalsRowDxfId="8"/>
    <tableColumn id="21" xr3:uid="{E860E4F9-435F-403A-99DC-4F09B4E8794B}" name="کل تعمیری  " dataDxfId="40" totalsRowDxfId="7"/>
    <tableColumn id="22" xr3:uid="{47EB2854-6047-467B-BA16-506DBA14E507}" name="معرفی به سامانه  " dataDxfId="39" totalsRowDxfId="6"/>
    <tableColumn id="23" xr3:uid="{0ED34F35-9434-4F5B-ACFB-80A7458F3977}" name="تعداد تسهیلات پرداختی  " dataDxfId="38" totalsRowDxfId="5"/>
    <tableColumn id="24" xr3:uid="{DCD79A9D-DE2F-425C-8599-D196FBDB4566}" name="تسهیلات پرداختی (میلیارد تومان)  " dataDxfId="37" totalsRowDxfId="4"/>
    <tableColumn id="25" xr3:uid="{01D646E1-811B-48EC-9221-0D5D49EC924F}" name="معرفی به نظام مهندسی" dataDxfId="36" totalsRowDxfId="3"/>
    <tableColumn id="26" xr3:uid="{7FE23065-0138-4E30-9D70-CF743FFA6B72}" name="نقشه تهیه شده" dataDxfId="35" totalsRowDxfId="2"/>
    <tableColumn id="27" xr3:uid="{3E7C0D45-B032-430F-B645-0655B239A9A0}" name="معرفی به شهرداری" dataDxfId="34" totalsRowDxfId="1"/>
    <tableColumn id="28" xr3:uid="{F2B75F71-1A59-4B6E-9195-9D5C9D62F31F}" name="پروانه صادر شده" dataDxfId="33" totalsRowDxfId="0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2" dataDxfId="31">
  <autoFilter ref="A1:B22" xr:uid="{DEE1957F-E1AA-46B9-9BA0-8CD1D8597BC0}"/>
  <tableColumns count="2">
    <tableColumn id="1" xr3:uid="{B5BAE426-C4CE-46D3-9A67-24B0EC98ED44}" name="نام و نام خانوادگی" dataDxfId="30"/>
    <tableColumn id="2" xr3:uid="{72ACDF6A-4EAE-4258-9051-F66922FA3B55}" name="تلفن همراه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54"/>
  <sheetViews>
    <sheetView rightToLeft="1" tabSelected="1" zoomScaleNormal="100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B28" sqref="B28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222</v>
      </c>
      <c r="E2" s="22">
        <v>185</v>
      </c>
      <c r="F2" s="22">
        <v>1423</v>
      </c>
      <c r="G2" s="22">
        <v>5984</v>
      </c>
      <c r="H2" s="22">
        <v>39080</v>
      </c>
      <c r="I2" s="22">
        <v>1423</v>
      </c>
      <c r="J2" s="22">
        <v>32741</v>
      </c>
      <c r="K2" s="22">
        <f>Table3[[#This Row],[تعمیری  نوع 3]]+Table3[[#This Row],[تعمیری  نوع 2]]+Table3[[#This Row],[تعمیری  نوع 1]]</f>
        <v>46487</v>
      </c>
      <c r="L2" s="22">
        <v>128023</v>
      </c>
      <c r="M2" s="22">
        <v>19643</v>
      </c>
      <c r="N2" s="22">
        <v>147666</v>
      </c>
      <c r="O2" s="22">
        <v>284372700</v>
      </c>
      <c r="P2" s="22">
        <v>31605600</v>
      </c>
      <c r="Q2" s="22">
        <v>252767100</v>
      </c>
      <c r="R2" s="22">
        <v>474</v>
      </c>
      <c r="S2" s="22">
        <v>1872</v>
      </c>
      <c r="T2" s="22">
        <v>15577</v>
      </c>
      <c r="U2" s="22">
        <v>49312</v>
      </c>
      <c r="V2" s="22">
        <v>66761</v>
      </c>
      <c r="W2" s="22">
        <v>3455</v>
      </c>
      <c r="X2" s="22">
        <v>3109</v>
      </c>
      <c r="Y2" s="23">
        <v>1758.4000000000005</v>
      </c>
      <c r="Z2" s="22">
        <v>1480</v>
      </c>
      <c r="AA2" s="22">
        <v>545</v>
      </c>
      <c r="AB2" s="22">
        <v>1278</v>
      </c>
      <c r="AC2" s="22">
        <v>407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75</v>
      </c>
      <c r="G3" s="21">
        <v>179</v>
      </c>
      <c r="H3" s="21">
        <v>1683</v>
      </c>
      <c r="I3" s="21">
        <v>75</v>
      </c>
      <c r="J3" s="21">
        <v>1424</v>
      </c>
      <c r="K3" s="21">
        <f>Table3[[#This Row],[تعمیری  نوع 3]]+Table3[[#This Row],[تعمیری  نوع 2]]+Table3[[#This Row],[تعمیری  نوع 1]]</f>
        <v>1937</v>
      </c>
      <c r="L3" s="21">
        <v>6127</v>
      </c>
      <c r="M3" s="21">
        <v>3381</v>
      </c>
      <c r="N3" s="21">
        <f>Table3[[#This Row],[ارزیابی کلان‌شهرها  ]]+Table3[[#This Row],[ارزیابی شهر و روستا  ]]</f>
        <v>9508</v>
      </c>
      <c r="O3" s="21">
        <f>Table3[[#This Row],[اعتبار تعمیری (میلیون ریال)  ]]+Table3[[#This Row],[اعتبار احداثی (میلیون ریال)  ]]</f>
        <v>13461400</v>
      </c>
      <c r="P3" s="21">
        <v>1590200</v>
      </c>
      <c r="Q3" s="21">
        <v>11871200</v>
      </c>
      <c r="R3" s="21">
        <v>62</v>
      </c>
      <c r="S3" s="21">
        <v>38</v>
      </c>
      <c r="T3" s="21">
        <v>792</v>
      </c>
      <c r="U3" s="21">
        <v>3131</v>
      </c>
      <c r="V3" s="21">
        <f>Table3[[#This Row],[تعمیرات نوع 3  ]]+Table3[[#This Row],[تعمیرات نوع 2  ]]+Table3[[#This Row],[تعمیرات نوع 1]]</f>
        <v>3961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34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55</v>
      </c>
      <c r="G4" s="21">
        <v>590</v>
      </c>
      <c r="H4" s="21">
        <v>3185</v>
      </c>
      <c r="I4" s="21">
        <v>55</v>
      </c>
      <c r="J4" s="21">
        <v>3363</v>
      </c>
      <c r="K4" s="21">
        <f>Table3[[#This Row],[تعمیری  نوع 3]]+Table3[[#This Row],[تعمیری  نوع 2]]+Table3[[#This Row],[تعمیری  نوع 1]]</f>
        <v>3830</v>
      </c>
      <c r="L4" s="21">
        <v>8376</v>
      </c>
      <c r="M4" s="21">
        <v>4264</v>
      </c>
      <c r="N4" s="21">
        <f>Table3[[#This Row],[ارزیابی کلان‌شهرها  ]]+Table3[[#This Row],[ارزیابی شهر و روستا  ]]</f>
        <v>12640</v>
      </c>
      <c r="O4" s="21">
        <f>Table3[[#This Row],[اعتبار تعمیری (میلیون ریال)  ]]+Table3[[#This Row],[اعتبار احداثی (میلیون ریال)  ]]</f>
        <v>20758800</v>
      </c>
      <c r="P4" s="21">
        <v>1054600</v>
      </c>
      <c r="Q4" s="21">
        <v>19704200</v>
      </c>
      <c r="R4" s="21">
        <v>10</v>
      </c>
      <c r="S4" s="21">
        <v>83</v>
      </c>
      <c r="T4" s="21">
        <v>520</v>
      </c>
      <c r="U4" s="21">
        <v>3321</v>
      </c>
      <c r="V4" s="21">
        <f>Table3[[#This Row],[تعمیرات نوع 3  ]]+Table3[[#This Row],[تعمیرات نوع 2  ]]+Table3[[#This Row],[تعمیرات نوع 1]]</f>
        <v>3924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125</v>
      </c>
      <c r="G5" s="21">
        <v>493</v>
      </c>
      <c r="H5" s="21">
        <v>2255</v>
      </c>
      <c r="I5" s="21">
        <v>125</v>
      </c>
      <c r="J5" s="21">
        <v>1510</v>
      </c>
      <c r="K5" s="21">
        <f>Table3[[#This Row],[تعمیری  نوع 3]]+Table3[[#This Row],[تعمیری  نوع 2]]+Table3[[#This Row],[تعمیری  نوع 1]]</f>
        <v>2873</v>
      </c>
      <c r="L5" s="21">
        <v>3709</v>
      </c>
      <c r="M5" s="21">
        <v>2957</v>
      </c>
      <c r="N5" s="21">
        <f>Table3[[#This Row],[ارزیابی کلان‌شهرها  ]]+Table3[[#This Row],[ارزیابی شهر و روستا  ]]</f>
        <v>6666</v>
      </c>
      <c r="O5" s="21">
        <f>Table3[[#This Row],[اعتبار تعمیری (میلیون ریال)  ]]+Table3[[#This Row],[اعتبار احداثی (میلیون ریال)  ]]</f>
        <v>18376200</v>
      </c>
      <c r="P5" s="21">
        <v>2680000</v>
      </c>
      <c r="Q5" s="21">
        <v>15696200</v>
      </c>
      <c r="R5" s="21">
        <v>0</v>
      </c>
      <c r="S5" s="21">
        <v>158</v>
      </c>
      <c r="T5" s="21">
        <v>447</v>
      </c>
      <c r="U5" s="21">
        <v>1985</v>
      </c>
      <c r="V5" s="21">
        <f>Table3[[#This Row],[تعمیرات نوع 3  ]]+Table3[[#This Row],[تعمیرات نوع 2  ]]+Table3[[#This Row],[تعمیرات نوع 1]]</f>
        <v>2590</v>
      </c>
      <c r="W5" s="21">
        <v>234</v>
      </c>
      <c r="X5" s="21">
        <v>223</v>
      </c>
      <c r="Y5" s="24">
        <v>118.7</v>
      </c>
      <c r="Z5" s="20">
        <v>91</v>
      </c>
      <c r="AA5" s="20">
        <v>3</v>
      </c>
      <c r="AB5" s="20">
        <v>82</v>
      </c>
      <c r="AC5" s="20">
        <v>3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69</v>
      </c>
      <c r="G6" s="21">
        <v>251</v>
      </c>
      <c r="H6" s="21">
        <v>4272</v>
      </c>
      <c r="I6" s="21">
        <v>69</v>
      </c>
      <c r="J6" s="21">
        <v>3075</v>
      </c>
      <c r="K6" s="21">
        <f>Table3[[#This Row],[تعمیری  نوع 3]]+Table3[[#This Row],[تعمیری  نوع 2]]+Table3[[#This Row],[تعمیری  نوع 1]]</f>
        <v>4592</v>
      </c>
      <c r="L6" s="21">
        <v>9846</v>
      </c>
      <c r="M6" s="21">
        <v>1071</v>
      </c>
      <c r="N6" s="21">
        <f>Table3[[#This Row],[ارزیابی کلان‌شهرها  ]]+Table3[[#This Row],[ارزیابی شهر و روستا  ]]</f>
        <v>10917</v>
      </c>
      <c r="O6" s="21">
        <f>Table3[[#This Row],[اعتبار تعمیری (میلیون ریال)  ]]+Table3[[#This Row],[اعتبار احداثی (میلیون ریال)  ]]</f>
        <v>22903300</v>
      </c>
      <c r="P6" s="21">
        <v>1564800</v>
      </c>
      <c r="Q6" s="21">
        <v>21338500</v>
      </c>
      <c r="R6" s="21">
        <v>23</v>
      </c>
      <c r="S6" s="21">
        <v>24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3556</v>
      </c>
      <c r="W6" s="21">
        <v>193</v>
      </c>
      <c r="X6" s="21">
        <v>132</v>
      </c>
      <c r="Y6" s="24">
        <v>69.599999999999994</v>
      </c>
      <c r="Z6" s="20">
        <v>53</v>
      </c>
      <c r="AA6" s="20">
        <v>44</v>
      </c>
      <c r="AB6" s="20">
        <v>65</v>
      </c>
      <c r="AC6" s="20">
        <v>44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12</v>
      </c>
      <c r="G7" s="21">
        <v>260</v>
      </c>
      <c r="H7" s="21">
        <v>160</v>
      </c>
      <c r="I7" s="21">
        <v>12</v>
      </c>
      <c r="J7" s="21">
        <v>353</v>
      </c>
      <c r="K7" s="21">
        <f>Table3[[#This Row],[تعمیری  نوع 3]]+Table3[[#This Row],[تعمیری  نوع 2]]+Table3[[#This Row],[تعمیری  نوع 1]]</f>
        <v>432</v>
      </c>
      <c r="L7" s="21">
        <v>652</v>
      </c>
      <c r="M7" s="21">
        <v>255</v>
      </c>
      <c r="N7" s="21">
        <f>Table3[[#This Row],[ارزیابی کلان‌شهرها  ]]+Table3[[#This Row],[ارزیابی شهر و روستا  ]]</f>
        <v>907</v>
      </c>
      <c r="O7" s="21">
        <f>Table3[[#This Row],[اعتبار تعمیری (میلیون ریال)  ]]+Table3[[#This Row],[اعتبار احداثی (میلیون ریال)  ]]</f>
        <v>2749500</v>
      </c>
      <c r="P7" s="21">
        <v>300000</v>
      </c>
      <c r="Q7" s="21">
        <v>2449500</v>
      </c>
      <c r="R7" s="21">
        <v>4</v>
      </c>
      <c r="S7" s="21">
        <v>42</v>
      </c>
      <c r="T7" s="21">
        <v>42</v>
      </c>
      <c r="U7" s="21">
        <v>72</v>
      </c>
      <c r="V7" s="21">
        <f>Table3[[#This Row],[تعمیرات نوع 3  ]]+Table3[[#This Row],[تعمیرات نوع 2  ]]+Table3[[#This Row],[تعمیرات نوع 1]]</f>
        <v>156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26</v>
      </c>
      <c r="G8" s="21">
        <v>243</v>
      </c>
      <c r="H8" s="21">
        <v>1171</v>
      </c>
      <c r="I8" s="21">
        <v>26</v>
      </c>
      <c r="J8" s="21">
        <v>581</v>
      </c>
      <c r="K8" s="21">
        <f>Table3[[#This Row],[تعمیری  نوع 3]]+Table3[[#This Row],[تعمیری  نوع 2]]+Table3[[#This Row],[تعمیری  نوع 1]]</f>
        <v>1440</v>
      </c>
      <c r="L8" s="21">
        <v>63</v>
      </c>
      <c r="M8" s="21">
        <v>3025</v>
      </c>
      <c r="N8" s="21">
        <f>Table3[[#This Row],[ارزیابی کلان‌شهرها  ]]+Table3[[#This Row],[ارزیابی شهر و روستا  ]]</f>
        <v>3088</v>
      </c>
      <c r="O8" s="21">
        <f>Table3[[#This Row],[اعتبار تعمیری (میلیون ریال)  ]]+Table3[[#This Row],[اعتبار احداثی (میلیون ریال)  ]]</f>
        <v>7456700</v>
      </c>
      <c r="P8" s="21">
        <v>650000</v>
      </c>
      <c r="Q8" s="21">
        <v>6806700</v>
      </c>
      <c r="R8" s="21">
        <v>1</v>
      </c>
      <c r="S8" s="21">
        <v>74</v>
      </c>
      <c r="T8" s="21">
        <v>432</v>
      </c>
      <c r="U8" s="21">
        <v>907</v>
      </c>
      <c r="V8" s="21">
        <f>Table3[[#This Row],[تعمیرات نوع 3  ]]+Table3[[#This Row],[تعمیرات نوع 2  ]]+Table3[[#This Row],[تعمیرات نوع 1]]</f>
        <v>1413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169</v>
      </c>
      <c r="G9" s="21">
        <v>468</v>
      </c>
      <c r="H9" s="21">
        <v>1382</v>
      </c>
      <c r="I9" s="21">
        <v>169</v>
      </c>
      <c r="J9" s="21">
        <v>2899</v>
      </c>
      <c r="K9" s="21">
        <f>Table3[[#This Row],[تعمیری  نوع 3]]+Table3[[#This Row],[تعمیری  نوع 2]]+Table3[[#This Row],[تعمیری  نوع 1]]</f>
        <v>2019</v>
      </c>
      <c r="L9" s="21">
        <v>13501</v>
      </c>
      <c r="M9" s="21">
        <v>4594</v>
      </c>
      <c r="N9" s="21">
        <f>Table3[[#This Row],[ارزیابی کلان‌شهرها  ]]+Table3[[#This Row],[ارزیابی شهر و روستا  ]]</f>
        <v>18095</v>
      </c>
      <c r="O9" s="21">
        <f>Table3[[#This Row],[اعتبار تعمیری (میلیون ریال)  ]]+Table3[[#This Row],[اعتبار احداثی (میلیون ریال)  ]]</f>
        <v>23319700</v>
      </c>
      <c r="P9" s="21">
        <v>3993600</v>
      </c>
      <c r="Q9" s="21">
        <v>19326100</v>
      </c>
      <c r="R9" s="21">
        <v>105</v>
      </c>
      <c r="S9" s="21">
        <v>253</v>
      </c>
      <c r="T9" s="21">
        <v>986</v>
      </c>
      <c r="U9" s="21">
        <v>10774</v>
      </c>
      <c r="V9" s="21">
        <f>Table3[[#This Row],[تعمیرات نوع 3  ]]+Table3[[#This Row],[تعمیرات نوع 2  ]]+Table3[[#This Row],[تعمیرات نوع 1]]</f>
        <v>12013</v>
      </c>
      <c r="W9" s="21">
        <v>497</v>
      </c>
      <c r="X9" s="21">
        <v>481</v>
      </c>
      <c r="Y9" s="24">
        <v>303.10000000000002</v>
      </c>
      <c r="Z9" s="20">
        <v>166</v>
      </c>
      <c r="AA9" s="20">
        <v>37</v>
      </c>
      <c r="AB9" s="20">
        <v>171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182</v>
      </c>
      <c r="G10" s="21">
        <v>473</v>
      </c>
      <c r="H10" s="21">
        <v>5326</v>
      </c>
      <c r="I10" s="21">
        <v>182</v>
      </c>
      <c r="J10" s="21">
        <v>3807</v>
      </c>
      <c r="K10" s="21">
        <f>Table3[[#This Row],[تعمیری  نوع 3]]+Table3[[#This Row],[تعمیری  نوع 2]]+Table3[[#This Row],[تعمیری  نوع 1]]</f>
        <v>5981</v>
      </c>
      <c r="L10" s="21">
        <v>15455</v>
      </c>
      <c r="M10" s="21">
        <v>0</v>
      </c>
      <c r="N10" s="21">
        <f>Table3[[#This Row],[ارزیابی کلان‌شهرها  ]]+Table3[[#This Row],[ارزیابی شهر و روستا  ]]</f>
        <v>15455</v>
      </c>
      <c r="O10" s="21">
        <f>Table3[[#This Row],[اعتبار تعمیری (میلیون ریال)  ]]+Table3[[#This Row],[اعتبار احداثی (میلیون ریال)  ]]</f>
        <v>34230700</v>
      </c>
      <c r="P10" s="21">
        <v>4069400</v>
      </c>
      <c r="Q10" s="21">
        <v>30161300</v>
      </c>
      <c r="R10" s="21">
        <v>47</v>
      </c>
      <c r="S10" s="21">
        <v>301</v>
      </c>
      <c r="T10" s="21">
        <v>3715</v>
      </c>
      <c r="U10" s="21">
        <v>4831</v>
      </c>
      <c r="V10" s="21">
        <f>Table3[[#This Row],[تعمیرات نوع 3  ]]+Table3[[#This Row],[تعمیرات نوع 2  ]]+Table3[[#This Row],[تعمیرات نوع 1]]</f>
        <v>8847</v>
      </c>
      <c r="W10" s="21">
        <v>313</v>
      </c>
      <c r="X10" s="21">
        <v>281</v>
      </c>
      <c r="Y10" s="24">
        <v>155.19999999999999</v>
      </c>
      <c r="Z10" s="20">
        <v>182</v>
      </c>
      <c r="AA10" s="20">
        <v>16</v>
      </c>
      <c r="AB10" s="20">
        <v>123</v>
      </c>
      <c r="AC10" s="20">
        <v>16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78</v>
      </c>
      <c r="G11" s="21">
        <v>658</v>
      </c>
      <c r="H11" s="21">
        <v>1424</v>
      </c>
      <c r="I11" s="21">
        <v>78</v>
      </c>
      <c r="J11" s="21">
        <v>3177</v>
      </c>
      <c r="K11" s="21">
        <f>Table3[[#This Row],[تعمیری  نوع 3]]+Table3[[#This Row],[تعمیری  نوع 2]]+Table3[[#This Row],[تعمیری  نوع 1]]</f>
        <v>2160</v>
      </c>
      <c r="L11" s="21">
        <v>12496</v>
      </c>
      <c r="M11" s="21">
        <v>0</v>
      </c>
      <c r="N11" s="21">
        <f>Table3[[#This Row],[ارزیابی کلان‌شهرها  ]]+Table3[[#This Row],[ارزیابی شهر و روستا  ]]</f>
        <v>12496</v>
      </c>
      <c r="O11" s="21">
        <f>Table3[[#This Row],[اعتبار تعمیری (میلیون ریال)  ]]+Table3[[#This Row],[اعتبار احداثی (میلیون ریال)  ]]</f>
        <v>16288200</v>
      </c>
      <c r="P11" s="21">
        <v>1576200</v>
      </c>
      <c r="Q11" s="21">
        <v>14712000</v>
      </c>
      <c r="R11" s="21">
        <v>40</v>
      </c>
      <c r="S11" s="21">
        <v>85</v>
      </c>
      <c r="T11" s="21">
        <v>379</v>
      </c>
      <c r="U11" s="21">
        <v>2028</v>
      </c>
      <c r="V11" s="21">
        <f>Table3[[#This Row],[تعمیرات نوع 3  ]]+Table3[[#This Row],[تعمیرات نوع 2  ]]+Table3[[#This Row],[تعمیرات نوع 1]]</f>
        <v>2492</v>
      </c>
      <c r="W11" s="21">
        <v>107</v>
      </c>
      <c r="X11" s="21">
        <v>95</v>
      </c>
      <c r="Y11" s="24">
        <v>44.7</v>
      </c>
      <c r="Z11" s="20">
        <v>78</v>
      </c>
      <c r="AA11" s="20">
        <v>28</v>
      </c>
      <c r="AB11" s="20">
        <v>78</v>
      </c>
      <c r="AC11" s="20">
        <v>28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2</v>
      </c>
      <c r="G12" s="21">
        <v>14</v>
      </c>
      <c r="H12" s="21">
        <v>3562</v>
      </c>
      <c r="I12" s="21">
        <v>2</v>
      </c>
      <c r="J12" s="21">
        <v>1824</v>
      </c>
      <c r="K12" s="21">
        <f>Table3[[#This Row],[تعمیری  نوع 3]]+Table3[[#This Row],[تعمیری  نوع 2]]+Table3[[#This Row],[تعمیری  نوع 1]]</f>
        <v>3578</v>
      </c>
      <c r="L12" s="21">
        <v>8096</v>
      </c>
      <c r="M12" s="21">
        <v>0</v>
      </c>
      <c r="N12" s="21">
        <f>Table3[[#This Row],[ارزیابی کلان‌شهرها  ]]+Table3[[#This Row],[ارزیابی شهر و روستا  ]]</f>
        <v>8096</v>
      </c>
      <c r="O12" s="21">
        <f>Table3[[#This Row],[اعتبار تعمیری (میلیون ریال)  ]]+Table3[[#This Row],[اعتبار احداثی (میلیون ریال)  ]]</f>
        <v>14871200</v>
      </c>
      <c r="P12" s="21">
        <v>50000</v>
      </c>
      <c r="Q12" s="21">
        <v>14821200</v>
      </c>
      <c r="R12" s="21">
        <v>0</v>
      </c>
      <c r="S12" s="21">
        <v>4</v>
      </c>
      <c r="T12" s="21">
        <v>2307</v>
      </c>
      <c r="U12" s="21">
        <v>2254</v>
      </c>
      <c r="V12" s="21">
        <f>Table3[[#This Row],[تعمیرات نوع 3  ]]+Table3[[#This Row],[تعمیرات نوع 2  ]]+Table3[[#This Row],[تعمیرات نوع 1]]</f>
        <v>4565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31</v>
      </c>
      <c r="G13" s="21">
        <v>91</v>
      </c>
      <c r="H13" s="21">
        <v>454</v>
      </c>
      <c r="I13" s="21">
        <v>31</v>
      </c>
      <c r="J13" s="21">
        <v>365</v>
      </c>
      <c r="K13" s="21">
        <f>Table3[[#This Row],[تعمیری  نوع 3]]+Table3[[#This Row],[تعمیری  نوع 2]]+Table3[[#This Row],[تعمیری  نوع 1]]</f>
        <v>576</v>
      </c>
      <c r="L13" s="21">
        <v>2117</v>
      </c>
      <c r="M13" s="21">
        <v>0</v>
      </c>
      <c r="N13" s="21">
        <f>Table3[[#This Row],[ارزیابی کلان‌شهرها  ]]+Table3[[#This Row],[ارزیابی شهر و روستا  ]]</f>
        <v>2117</v>
      </c>
      <c r="O13" s="21">
        <f>Table3[[#This Row],[اعتبار تعمیری (میلیون ریال)  ]]+Table3[[#This Row],[اعتبار احداثی (میلیون ریال)  ]]</f>
        <v>3995300</v>
      </c>
      <c r="P13" s="21">
        <v>597000</v>
      </c>
      <c r="Q13" s="21">
        <v>3398300</v>
      </c>
      <c r="R13" s="21">
        <v>7</v>
      </c>
      <c r="S13" s="21">
        <v>35</v>
      </c>
      <c r="T13" s="21">
        <v>298</v>
      </c>
      <c r="U13" s="21">
        <v>661</v>
      </c>
      <c r="V13" s="21">
        <f>Table3[[#This Row],[تعمیرات نوع 3  ]]+Table3[[#This Row],[تعمیرات نوع 2  ]]+Table3[[#This Row],[تعمیرات نوع 1]]</f>
        <v>994</v>
      </c>
      <c r="W13" s="21">
        <v>29</v>
      </c>
      <c r="X13" s="21">
        <v>24</v>
      </c>
      <c r="Y13" s="24">
        <v>16.8</v>
      </c>
      <c r="Z13" s="20">
        <v>39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20</v>
      </c>
      <c r="G14" s="21">
        <v>29</v>
      </c>
      <c r="H14" s="21">
        <v>231</v>
      </c>
      <c r="I14" s="21">
        <v>20</v>
      </c>
      <c r="J14" s="21">
        <v>379</v>
      </c>
      <c r="K14" s="21">
        <f>Table3[[#This Row],[تعمیری  نوع 3]]+Table3[[#This Row],[تعمیری  نوع 2]]+Table3[[#This Row],[تعمیری  نوع 1]]</f>
        <v>280</v>
      </c>
      <c r="L14" s="21">
        <v>1156</v>
      </c>
      <c r="M14" s="21">
        <v>0</v>
      </c>
      <c r="N14" s="21">
        <f>Table3[[#This Row],[ارزیابی کلان‌شهرها  ]]+Table3[[#This Row],[ارزیابی شهر و روستا  ]]</f>
        <v>1156</v>
      </c>
      <c r="O14" s="21">
        <f>Table3[[#This Row],[اعتبار تعمیری (میلیون ریال)  ]]+Table3[[#This Row],[اعتبار احداثی (میلیون ریال)  ]]</f>
        <v>2214700</v>
      </c>
      <c r="P14" s="21">
        <v>482200</v>
      </c>
      <c r="Q14" s="21">
        <v>1732500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152</v>
      </c>
      <c r="G15" s="21">
        <v>677</v>
      </c>
      <c r="H15" s="21">
        <v>3588</v>
      </c>
      <c r="I15" s="21">
        <v>152</v>
      </c>
      <c r="J15" s="21">
        <v>3027</v>
      </c>
      <c r="K15" s="21">
        <f>Table3[[#This Row],[تعمیری  نوع 3]]+Table3[[#This Row],[تعمیری  نوع 2]]+Table3[[#This Row],[تعمیری  نوع 1]]</f>
        <v>4417</v>
      </c>
      <c r="L15" s="21">
        <v>16464</v>
      </c>
      <c r="M15" s="21">
        <v>0</v>
      </c>
      <c r="N15" s="21">
        <f>Table3[[#This Row],[ارزیابی کلان‌شهرها  ]]+Table3[[#This Row],[ارزیابی شهر و روستا  ]]</f>
        <v>16464</v>
      </c>
      <c r="O15" s="21">
        <f>Table3[[#This Row],[اعتبار تعمیری (میلیون ریال)  ]]+Table3[[#This Row],[اعتبار احداثی (میلیون ریال)  ]]</f>
        <v>28484900</v>
      </c>
      <c r="P15" s="21">
        <v>2927800</v>
      </c>
      <c r="Q15" s="21">
        <v>25557100</v>
      </c>
      <c r="R15" s="21">
        <v>64</v>
      </c>
      <c r="S15" s="21">
        <v>213</v>
      </c>
      <c r="T15" s="21">
        <v>1302</v>
      </c>
      <c r="U15" s="21">
        <v>6605</v>
      </c>
      <c r="V15" s="21">
        <f>Table3[[#This Row],[تعمیرات نوع 3  ]]+Table3[[#This Row],[تعمیرات نوع 2  ]]+Table3[[#This Row],[تعمیرات نوع 1]]</f>
        <v>8120</v>
      </c>
      <c r="W15" s="21">
        <v>205</v>
      </c>
      <c r="X15" s="21">
        <v>179</v>
      </c>
      <c r="Y15" s="24">
        <v>105.9</v>
      </c>
      <c r="Z15" s="20">
        <v>160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137</v>
      </c>
      <c r="G16" s="21">
        <v>562</v>
      </c>
      <c r="H16" s="21">
        <v>3405</v>
      </c>
      <c r="I16" s="21">
        <v>137</v>
      </c>
      <c r="J16" s="21">
        <v>2146</v>
      </c>
      <c r="K16" s="21">
        <f>Table3[[#This Row],[تعمیری  نوع 3]]+Table3[[#This Row],[تعمیری  نوع 2]]+Table3[[#This Row],[تعمیری  نوع 1]]</f>
        <v>4104</v>
      </c>
      <c r="L16" s="21">
        <v>9353</v>
      </c>
      <c r="M16" s="21">
        <v>0</v>
      </c>
      <c r="N16" s="21">
        <f>Table3[[#This Row],[ارزیابی کلان‌شهرها  ]]+Table3[[#This Row],[ارزیابی شهر و روستا  ]]</f>
        <v>9353</v>
      </c>
      <c r="O16" s="21">
        <f>Table3[[#This Row],[اعتبار تعمیری (میلیون ریال)  ]]+Table3[[#This Row],[اعتبار احداثی (میلیون ریال)  ]]</f>
        <v>24014700</v>
      </c>
      <c r="P16" s="21">
        <v>3122400</v>
      </c>
      <c r="Q16" s="21">
        <v>20892300</v>
      </c>
      <c r="R16" s="21">
        <v>26</v>
      </c>
      <c r="S16" s="21">
        <v>82</v>
      </c>
      <c r="T16" s="21">
        <v>85</v>
      </c>
      <c r="U16" s="21">
        <v>1028</v>
      </c>
      <c r="V16" s="21">
        <f>Table3[[#This Row],[تعمیرات نوع 3  ]]+Table3[[#This Row],[تعمیرات نوع 2  ]]+Table3[[#This Row],[تعمیرات نوع 1]]</f>
        <v>1195</v>
      </c>
      <c r="W16" s="21">
        <v>259</v>
      </c>
      <c r="X16" s="21">
        <v>240</v>
      </c>
      <c r="Y16" s="24">
        <v>145.6</v>
      </c>
      <c r="Z16" s="20">
        <v>158</v>
      </c>
      <c r="AA16" s="20">
        <v>51</v>
      </c>
      <c r="AB16" s="20">
        <v>128</v>
      </c>
      <c r="AC16" s="20">
        <v>30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59</v>
      </c>
      <c r="G17" s="21">
        <v>217</v>
      </c>
      <c r="H17" s="21">
        <v>1180</v>
      </c>
      <c r="I17" s="21">
        <v>59</v>
      </c>
      <c r="J17" s="21">
        <v>1016</v>
      </c>
      <c r="K17" s="21">
        <f>Table3[[#This Row],[تعمیری  نوع 3]]+Table3[[#This Row],[تعمیری  نوع 2]]+Table3[[#This Row],[تعمیری  نوع 1]]</f>
        <v>1456</v>
      </c>
      <c r="L17" s="21">
        <v>4235</v>
      </c>
      <c r="M17" s="21">
        <v>0</v>
      </c>
      <c r="N17" s="21">
        <f>Table3[[#This Row],[ارزیابی کلان‌شهرها  ]]+Table3[[#This Row],[ارزیابی شهر و روستا  ]]</f>
        <v>4235</v>
      </c>
      <c r="O17" s="21">
        <f>Table3[[#This Row],[اعتبار تعمیری (میلیون ریال)  ]]+Table3[[#This Row],[اعتبار احداثی (میلیون ریال)  ]]</f>
        <v>9784100</v>
      </c>
      <c r="P17" s="21">
        <v>1439400</v>
      </c>
      <c r="Q17" s="21">
        <v>8344700</v>
      </c>
      <c r="R17" s="21">
        <v>28</v>
      </c>
      <c r="S17" s="21">
        <v>46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1650</v>
      </c>
      <c r="W17" s="21">
        <v>114</v>
      </c>
      <c r="X17" s="21">
        <v>104</v>
      </c>
      <c r="Y17" s="24">
        <v>67.900000000000006</v>
      </c>
      <c r="Z17" s="20">
        <v>93</v>
      </c>
      <c r="AA17" s="20">
        <v>42</v>
      </c>
      <c r="AB17" s="20">
        <v>59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36</v>
      </c>
      <c r="G18" s="21">
        <v>120</v>
      </c>
      <c r="H18" s="21">
        <v>1113</v>
      </c>
      <c r="I18" s="21">
        <v>36</v>
      </c>
      <c r="J18" s="21">
        <v>469</v>
      </c>
      <c r="K18" s="21">
        <f>Table3[[#This Row],[تعمیری  نوع 3]]+Table3[[#This Row],[تعمیری  نوع 2]]+Table3[[#This Row],[تعمیری  نوع 1]]</f>
        <v>1269</v>
      </c>
      <c r="L18" s="21">
        <v>2546</v>
      </c>
      <c r="M18" s="21">
        <v>0</v>
      </c>
      <c r="N18" s="21">
        <f>Table3[[#This Row],[ارزیابی کلان‌شهرها  ]]+Table3[[#This Row],[ارزیابی شهر و روستا  ]]</f>
        <v>2546</v>
      </c>
      <c r="O18" s="21">
        <f>Table3[[#This Row],[اعتبار تعمیری (میلیون ریال)  ]]+Table3[[#This Row],[اعتبار احداثی (میلیون ریال)  ]]</f>
        <v>6598200</v>
      </c>
      <c r="P18" s="21">
        <v>811000</v>
      </c>
      <c r="Q18" s="21">
        <v>5787200</v>
      </c>
      <c r="R18" s="21">
        <v>8</v>
      </c>
      <c r="S18" s="21">
        <v>44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1904</v>
      </c>
      <c r="W18" s="21">
        <v>83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137</v>
      </c>
      <c r="G19" s="21">
        <v>571</v>
      </c>
      <c r="H19" s="21">
        <v>4215</v>
      </c>
      <c r="I19" s="21">
        <v>137</v>
      </c>
      <c r="J19" s="21">
        <v>2852</v>
      </c>
      <c r="K19" s="21">
        <f>Table3[[#This Row],[تعمیری  نوع 3]]+Table3[[#This Row],[تعمیری  نوع 2]]+Table3[[#This Row],[تعمیری  نوع 1]]</f>
        <v>4923</v>
      </c>
      <c r="L19" s="21">
        <v>13407</v>
      </c>
      <c r="M19" s="21">
        <v>0</v>
      </c>
      <c r="N19" s="21">
        <f>Table3[[#This Row],[ارزیابی کلان‌شهرها  ]]+Table3[[#This Row],[ارزیابی شهر و روستا  ]]</f>
        <v>13407</v>
      </c>
      <c r="O19" s="21">
        <f>Table3[[#This Row],[اعتبار تعمیری (میلیون ریال)  ]]+Table3[[#This Row],[اعتبار احداثی (میلیون ریال)  ]]</f>
        <v>28984400</v>
      </c>
      <c r="P19" s="21">
        <v>3318200</v>
      </c>
      <c r="Q19" s="21">
        <v>25666200</v>
      </c>
      <c r="R19" s="21">
        <v>0</v>
      </c>
      <c r="S19" s="21">
        <v>312</v>
      </c>
      <c r="T19" s="21">
        <v>1888</v>
      </c>
      <c r="U19" s="21">
        <v>5493</v>
      </c>
      <c r="V19" s="21">
        <f>Table3[[#This Row],[تعمیرات نوع 3  ]]+Table3[[#This Row],[تعمیرات نوع 2  ]]+Table3[[#This Row],[تعمیرات نوع 1]]</f>
        <v>7693</v>
      </c>
      <c r="W19" s="21">
        <v>487</v>
      </c>
      <c r="X19" s="21">
        <v>421</v>
      </c>
      <c r="Y19" s="24">
        <v>183.4</v>
      </c>
      <c r="Z19" s="20">
        <v>137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0</v>
      </c>
      <c r="G20" s="21">
        <v>3</v>
      </c>
      <c r="H20" s="21">
        <v>144</v>
      </c>
      <c r="I20" s="21">
        <v>0</v>
      </c>
      <c r="J20" s="21">
        <v>26</v>
      </c>
      <c r="K20" s="21">
        <f>Table3[[#This Row],[تعمیری  نوع 3]]+Table3[[#This Row],[تعمیری  نوع 2]]+Table3[[#This Row],[تعمیری  نوع 1]]</f>
        <v>147</v>
      </c>
      <c r="L20" s="21">
        <v>262</v>
      </c>
      <c r="M20" s="21">
        <v>0</v>
      </c>
      <c r="N20" s="21">
        <f>Table3[[#This Row],[ارزیابی کلان‌شهرها  ]]+Table3[[#This Row],[ارزیابی شهر و روستا  ]]</f>
        <v>262</v>
      </c>
      <c r="O20" s="21">
        <f>Table3[[#This Row],[اعتبار تعمیری (میلیون ریال)  ]]+Table3[[#This Row],[اعتبار احداثی (میلیون ریال)  ]]</f>
        <v>619700</v>
      </c>
      <c r="P20" s="21">
        <v>0</v>
      </c>
      <c r="Q20" s="21">
        <v>619700</v>
      </c>
      <c r="R20" s="21">
        <v>0</v>
      </c>
      <c r="S20" s="21">
        <v>1</v>
      </c>
      <c r="T20" s="21">
        <v>92</v>
      </c>
      <c r="U20" s="21">
        <v>58</v>
      </c>
      <c r="V20" s="21">
        <f>Table3[[#This Row],[تعمیرات نوع 3  ]]+Table3[[#This Row],[تعمیرات نوع 2  ]]+Table3[[#This Row],[تعمیرات نوع 1]]</f>
        <v>151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0</v>
      </c>
      <c r="G21" s="21">
        <v>4</v>
      </c>
      <c r="H21" s="21">
        <v>19</v>
      </c>
      <c r="I21" s="21">
        <v>0</v>
      </c>
      <c r="J21" s="21">
        <v>19</v>
      </c>
      <c r="K21" s="21">
        <f>Table3[[#This Row],[تعمیری  نوع 3]]+Table3[[#This Row],[تعمیری  نوع 2]]+Table3[[#This Row],[تعمیری  نوع 1]]</f>
        <v>23</v>
      </c>
      <c r="L21" s="21">
        <v>49</v>
      </c>
      <c r="M21" s="21">
        <v>0</v>
      </c>
      <c r="N21" s="21">
        <f>Table3[[#This Row],[ارزیابی کلان‌شهرها  ]]+Table3[[#This Row],[ارزیابی شهر و روستا  ]]</f>
        <v>49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0</v>
      </c>
      <c r="G22" s="21">
        <v>1</v>
      </c>
      <c r="H22" s="21">
        <v>77</v>
      </c>
      <c r="I22" s="21">
        <v>0</v>
      </c>
      <c r="J22" s="21">
        <v>14</v>
      </c>
      <c r="K22" s="21">
        <f>Table3[[#This Row],[تعمیری  نوع 3]]+Table3[[#This Row],[تعمیری  نوع 2]]+Table3[[#This Row],[تعمیری  نوع 1]]</f>
        <v>78</v>
      </c>
      <c r="L22" s="21">
        <v>397</v>
      </c>
      <c r="M22" s="21">
        <v>0</v>
      </c>
      <c r="N22" s="21">
        <f>Table3[[#This Row],[ارزیابی کلان‌شهرها  ]]+Table3[[#This Row],[ارزیابی شهر و روستا  ]]</f>
        <v>397</v>
      </c>
      <c r="O22" s="21">
        <f>Table3[[#This Row],[اعتبار تعمیری (میلیون ریال)  ]]+Table3[[#This Row],[اعتبار احداثی (میلیون ریال)  ]]</f>
        <v>431800</v>
      </c>
      <c r="P22" s="21">
        <v>0</v>
      </c>
      <c r="Q22" s="21">
        <v>431800</v>
      </c>
      <c r="R22" s="21">
        <v>0</v>
      </c>
      <c r="S22" s="21">
        <v>1</v>
      </c>
      <c r="T22" s="21">
        <v>59</v>
      </c>
      <c r="U22" s="21">
        <v>262</v>
      </c>
      <c r="V22" s="21">
        <f>Table3[[#This Row],[تعمیرات نوع 3  ]]+Table3[[#This Row],[تعمیرات نوع 2  ]]+Table3[[#This Row],[تعمیرات نوع 1]]</f>
        <v>322</v>
      </c>
      <c r="W22" s="21">
        <v>0</v>
      </c>
      <c r="X22" s="21">
        <v>0</v>
      </c>
      <c r="Y22" s="24">
        <v>0</v>
      </c>
      <c r="Z22" s="20">
        <v>0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4</v>
      </c>
      <c r="G23" s="21">
        <v>4</v>
      </c>
      <c r="H23" s="21">
        <v>6</v>
      </c>
      <c r="I23" s="21">
        <v>4</v>
      </c>
      <c r="J23" s="21">
        <v>25</v>
      </c>
      <c r="K23" s="21">
        <f>Table3[[#This Row],[تعمیری  نوع 3]]+Table3[[#This Row],[تعمیری  نوع 2]]+Table3[[#This Row],[تعمیری  نوع 1]]</f>
        <v>14</v>
      </c>
      <c r="L23" s="21">
        <v>89</v>
      </c>
      <c r="M23" s="21">
        <v>0</v>
      </c>
      <c r="N23" s="21">
        <f>Table3[[#This Row],[ارزیابی کلان‌شهرها  ]]+Table3[[#This Row],[ارزیابی شهر و روستا  ]]</f>
        <v>89</v>
      </c>
      <c r="O23" s="21">
        <f>Table3[[#This Row],[اعتبار تعمیری (میلیون ریال)  ]]+Table3[[#This Row],[اعتبار احداثی (میلیون ریال)  ]]</f>
        <v>275700</v>
      </c>
      <c r="P23" s="21">
        <v>100000</v>
      </c>
      <c r="Q23" s="21">
        <v>175700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4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9</v>
      </c>
      <c r="G24" s="21">
        <v>6</v>
      </c>
      <c r="H24" s="21">
        <v>17</v>
      </c>
      <c r="I24" s="21">
        <v>9</v>
      </c>
      <c r="J24" s="21">
        <v>16</v>
      </c>
      <c r="K24" s="21">
        <f>Table3[[#This Row],[تعمیری  نوع 3]]+Table3[[#This Row],[تعمیری  نوع 2]]+Table3[[#This Row],[تعمیری  نوع 1]]</f>
        <v>32</v>
      </c>
      <c r="L24" s="21">
        <v>163</v>
      </c>
      <c r="M24" s="21">
        <v>0</v>
      </c>
      <c r="N24" s="21">
        <f>Table3[[#This Row],[ارزیابی کلان‌شهرها  ]]+Table3[[#This Row],[ارزیابی شهر و روستا  ]]</f>
        <v>163</v>
      </c>
      <c r="O24" s="21">
        <f>Table3[[#This Row],[اعتبار تعمیری (میلیون ریال)  ]]+Table3[[#This Row],[اعتبار احداثی (میلیون ریال)  ]]</f>
        <v>624700</v>
      </c>
      <c r="P24" s="21">
        <v>225000</v>
      </c>
      <c r="Q24" s="21">
        <v>399700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2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42</v>
      </c>
      <c r="G25" s="21">
        <v>45</v>
      </c>
      <c r="H25" s="21">
        <v>161</v>
      </c>
      <c r="I25" s="21">
        <v>42</v>
      </c>
      <c r="J25" s="21">
        <v>282</v>
      </c>
      <c r="K25" s="21">
        <f>Table3[[#This Row],[تعمیری  نوع 3]]+Table3[[#This Row],[تعمیری  نوع 2]]+Table3[[#This Row],[تعمیری  نوع 1]]</f>
        <v>248</v>
      </c>
      <c r="L25" s="21">
        <v>1166</v>
      </c>
      <c r="M25" s="21">
        <v>0</v>
      </c>
      <c r="N25" s="21">
        <f>Table3[[#This Row],[ارزیابی کلان‌شهرها  ]]+Table3[[#This Row],[ارزیابی شهر و روستا  ]]</f>
        <v>1166</v>
      </c>
      <c r="O25" s="21">
        <f>Table3[[#This Row],[اعتبار تعمیری (میلیون ریال)  ]]+Table3[[#This Row],[اعتبار احداثی (میلیون ریال)  ]]</f>
        <v>3198400</v>
      </c>
      <c r="P25" s="21">
        <v>978800</v>
      </c>
      <c r="Q25" s="21">
        <v>2219600</v>
      </c>
      <c r="R25" s="21">
        <v>15</v>
      </c>
      <c r="S25" s="21">
        <v>30</v>
      </c>
      <c r="T25" s="21">
        <v>19</v>
      </c>
      <c r="U25" s="21">
        <v>176</v>
      </c>
      <c r="V25" s="21">
        <f>Table3[[#This Row],[تعمیرات نوع 3  ]]+Table3[[#This Row],[تعمیرات نوع 2  ]]+Table3[[#This Row],[تعمیرات نوع 1]]</f>
        <v>225</v>
      </c>
      <c r="W25" s="21">
        <v>437</v>
      </c>
      <c r="X25" s="21">
        <v>378</v>
      </c>
      <c r="Y25" s="24">
        <v>264.10000000000002</v>
      </c>
      <c r="Z25" s="20">
        <v>140</v>
      </c>
      <c r="AA25" s="20">
        <v>124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3</v>
      </c>
      <c r="G26" s="21">
        <v>25</v>
      </c>
      <c r="H26" s="21">
        <v>50</v>
      </c>
      <c r="I26" s="21">
        <v>3</v>
      </c>
      <c r="J26" s="21">
        <v>92</v>
      </c>
      <c r="K26" s="21">
        <f>Table3[[#This Row],[تعمیری  نوع 3]]+Table3[[#This Row],[تعمیری  نوع 2]]+Table3[[#This Row],[تعمیری  نوع 1]]</f>
        <v>78</v>
      </c>
      <c r="L26" s="21">
        <v>366</v>
      </c>
      <c r="M26" s="21">
        <v>0</v>
      </c>
      <c r="N26" s="21">
        <f>Table3[[#This Row],[ارزیابی کلان‌شهرها  ]]+Table3[[#This Row],[ارزیابی شهر و روستا  ]]</f>
        <v>366</v>
      </c>
      <c r="O26" s="21">
        <f>Table3[[#This Row],[اعتبار تعمیری (میلیون ریال)  ]]+Table3[[#This Row],[اعتبار احداثی (میلیون ریال)  ]]</f>
        <v>622300</v>
      </c>
      <c r="P26" s="21">
        <v>75000</v>
      </c>
      <c r="Q26" s="21">
        <v>547300</v>
      </c>
      <c r="R26" s="21">
        <v>1</v>
      </c>
      <c r="S26" s="21">
        <v>15</v>
      </c>
      <c r="T26" s="21">
        <v>23</v>
      </c>
      <c r="U26" s="21">
        <v>118</v>
      </c>
      <c r="V26" s="21">
        <f>Table3[[#This Row],[تعمیرات نوع 3  ]]+Table3[[#This Row],[تعمیرات نوع 2  ]]+Table3[[#This Row],[تعمیرات نوع 1]]</f>
        <v>156</v>
      </c>
      <c r="W26" s="21">
        <v>8</v>
      </c>
      <c r="X26" s="21">
        <v>6</v>
      </c>
      <c r="Y26" s="24">
        <v>3.5</v>
      </c>
      <c r="Z26" s="20">
        <v>3</v>
      </c>
      <c r="AA26" s="20">
        <v>0</v>
      </c>
      <c r="AB26" s="20">
        <v>3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/>
      <c r="G27" s="20"/>
      <c r="H27" s="20"/>
      <c r="I27" s="20"/>
      <c r="J27" s="20"/>
      <c r="K27" s="20"/>
      <c r="L27" s="20"/>
      <c r="M27" s="20"/>
      <c r="N27" s="21"/>
      <c r="O27" s="21"/>
      <c r="P27" s="20"/>
      <c r="Q27" s="20"/>
      <c r="R27" s="21"/>
      <c r="S27" s="21"/>
      <c r="T27" s="21"/>
      <c r="U27" s="21"/>
      <c r="V27" s="21"/>
      <c r="W27" s="20"/>
      <c r="X27" s="20"/>
      <c r="Y27" s="25"/>
      <c r="Z27" s="20"/>
      <c r="AA27" s="20"/>
      <c r="AB27" s="20"/>
      <c r="AC27" s="20"/>
    </row>
    <row r="28" spans="1:29" ht="20.25" x14ac:dyDescent="0.2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8.75" x14ac:dyDescent="0.2">
      <c r="O29" s="19"/>
      <c r="Q29" s="26"/>
      <c r="R29" s="19"/>
      <c r="Y29" s="28"/>
    </row>
    <row r="30" spans="1:29" ht="18.75" x14ac:dyDescent="0.2">
      <c r="O30" s="19"/>
      <c r="Q30" s="26"/>
    </row>
    <row r="31" spans="1:29" ht="18.75" x14ac:dyDescent="0.2">
      <c r="Q31" s="26"/>
    </row>
    <row r="32" spans="1:29" ht="18.75" x14ac:dyDescent="0.2">
      <c r="Q32" s="26"/>
    </row>
    <row r="33" spans="17:17" ht="18.75" x14ac:dyDescent="0.2">
      <c r="Q33" s="26"/>
    </row>
    <row r="34" spans="17:17" ht="18.75" x14ac:dyDescent="0.2">
      <c r="Q34" s="26"/>
    </row>
    <row r="35" spans="17:17" ht="18.75" x14ac:dyDescent="0.2">
      <c r="Q35" s="26"/>
    </row>
    <row r="36" spans="17:17" ht="18.75" x14ac:dyDescent="0.2">
      <c r="Q36" s="27"/>
    </row>
    <row r="37" spans="17:17" ht="18.75" x14ac:dyDescent="0.2">
      <c r="Q37" s="27"/>
    </row>
    <row r="38" spans="17:17" ht="18.75" x14ac:dyDescent="0.2">
      <c r="Q38" s="27"/>
    </row>
    <row r="39" spans="17:17" ht="18.75" x14ac:dyDescent="0.2">
      <c r="Q39" s="27"/>
    </row>
    <row r="40" spans="17:17" ht="18.75" x14ac:dyDescent="0.2">
      <c r="Q40" s="27"/>
    </row>
    <row r="41" spans="17:17" ht="18.75" x14ac:dyDescent="0.2">
      <c r="Q41" s="27"/>
    </row>
    <row r="42" spans="17:17" ht="18.75" x14ac:dyDescent="0.2">
      <c r="Q42" s="27"/>
    </row>
    <row r="43" spans="17:17" ht="18.75" x14ac:dyDescent="0.2">
      <c r="Q43" s="27"/>
    </row>
    <row r="44" spans="17:17" ht="18.75" x14ac:dyDescent="0.2">
      <c r="Q44" s="27"/>
    </row>
    <row r="45" spans="17:17" ht="18.75" x14ac:dyDescent="0.2">
      <c r="Q45" s="27"/>
    </row>
    <row r="46" spans="17:17" ht="18.75" x14ac:dyDescent="0.2">
      <c r="Q46" s="27"/>
    </row>
    <row r="47" spans="17:17" ht="18.75" x14ac:dyDescent="0.2">
      <c r="Q47" s="27"/>
    </row>
    <row r="48" spans="17:17" ht="18.75" x14ac:dyDescent="0.2">
      <c r="Q48" s="27"/>
    </row>
    <row r="49" spans="17:17" ht="18.75" x14ac:dyDescent="0.2">
      <c r="Q49" s="27"/>
    </row>
    <row r="50" spans="17:17" ht="18.75" x14ac:dyDescent="0.2">
      <c r="Q50" s="27"/>
    </row>
    <row r="51" spans="17:17" ht="18.75" x14ac:dyDescent="0.2">
      <c r="Q51" s="27"/>
    </row>
    <row r="52" spans="17:17" ht="18.75" x14ac:dyDescent="0.2">
      <c r="Q52" s="27"/>
    </row>
    <row r="54" spans="17:17" x14ac:dyDescent="0.2">
      <c r="Q54" s="19">
        <f>Q52+Q51+Q50+Q49+Q48+Q47+Q46+Q45+Q44+Q43+Q42+Q41+Q40+Q39+Q38+Q37+Q36+Q35+Q34+Q33+Q32+Q31+Q30+Q29</f>
        <v>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Ashkan Kazemi</cp:lastModifiedBy>
  <dcterms:created xsi:type="dcterms:W3CDTF">2026-05-12T19:05:27Z</dcterms:created>
  <dcterms:modified xsi:type="dcterms:W3CDTF">2026-08-23T10:15:52Z</dcterms:modified>
</cp:coreProperties>
</file>