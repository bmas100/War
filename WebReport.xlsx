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حوزه ریاست\دربندی\"/>
    </mc:Choice>
  </mc:AlternateContent>
  <xr:revisionPtr revIDLastSave="0" documentId="8_{73BE68A6-C69E-48A9-816C-9330A4EF59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عملکرد نهایی" sheetId="12" r:id="rId1"/>
    <sheet name="ارزیابی و برآورد" sheetId="10" r:id="rId2"/>
  </sheets>
  <externalReferences>
    <externalReference r:id="rId3"/>
  </externalReferences>
  <definedNames>
    <definedName name="_xlnm._FilterDatabase" localSheetId="1" hidden="1">'ارزیابی و برآورد'!$C$7:$E$50</definedName>
    <definedName name="_xlnm._FilterDatabase" localSheetId="0" hidden="1">'عملکرد نهایی'!$C$8:$AN$45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7" i="12" l="1"/>
  <c r="R17" i="12"/>
  <c r="Q18" i="12"/>
  <c r="R18" i="12"/>
  <c r="Q19" i="12"/>
  <c r="R19" i="12"/>
  <c r="Q20" i="12"/>
  <c r="R20" i="12"/>
  <c r="Q21" i="12"/>
  <c r="R21" i="12"/>
  <c r="Q22" i="12"/>
  <c r="R22" i="12"/>
  <c r="Q23" i="12"/>
  <c r="R23" i="12"/>
  <c r="Q24" i="12"/>
  <c r="R24" i="12"/>
  <c r="Q25" i="12"/>
  <c r="R25" i="12"/>
  <c r="Q26" i="12"/>
  <c r="R26" i="12"/>
  <c r="Q27" i="12"/>
  <c r="R27" i="12"/>
  <c r="Q28" i="12"/>
  <c r="R28" i="12"/>
  <c r="Q29" i="12"/>
  <c r="R29" i="12"/>
  <c r="Q30" i="12"/>
  <c r="R30" i="12"/>
  <c r="Q31" i="12"/>
  <c r="R31" i="12"/>
  <c r="Q32" i="12"/>
  <c r="R32" i="12"/>
  <c r="Q33" i="12"/>
  <c r="R33" i="12"/>
  <c r="Q34" i="12"/>
  <c r="R34" i="12"/>
  <c r="Q35" i="12"/>
  <c r="R35" i="12"/>
  <c r="Q36" i="12"/>
  <c r="R36" i="12"/>
  <c r="Q37" i="12"/>
  <c r="R37" i="12"/>
  <c r="Q38" i="12"/>
  <c r="R38" i="12"/>
  <c r="R16" i="12"/>
  <c r="R15" i="12"/>
  <c r="Q16" i="12"/>
  <c r="Q15" i="12"/>
  <c r="N17" i="12"/>
  <c r="O17" i="12"/>
  <c r="N18" i="12"/>
  <c r="O18" i="12"/>
  <c r="N19" i="12"/>
  <c r="O19" i="12"/>
  <c r="N20" i="12"/>
  <c r="O20" i="12"/>
  <c r="N21" i="12"/>
  <c r="O21" i="12"/>
  <c r="N22" i="12"/>
  <c r="O22" i="12"/>
  <c r="N23" i="12"/>
  <c r="O23" i="12"/>
  <c r="N24" i="12"/>
  <c r="O24" i="12"/>
  <c r="N25" i="12"/>
  <c r="O25" i="12"/>
  <c r="N26" i="12"/>
  <c r="O26" i="12"/>
  <c r="N27" i="12"/>
  <c r="O27" i="12"/>
  <c r="N28" i="12"/>
  <c r="O28" i="12"/>
  <c r="N29" i="12"/>
  <c r="O29" i="12"/>
  <c r="N30" i="12"/>
  <c r="O30" i="12"/>
  <c r="N31" i="12"/>
  <c r="O31" i="12"/>
  <c r="N32" i="12"/>
  <c r="O32" i="12"/>
  <c r="N33" i="12"/>
  <c r="O33" i="12"/>
  <c r="N34" i="12"/>
  <c r="O34" i="12"/>
  <c r="N35" i="12"/>
  <c r="O35" i="12"/>
  <c r="N36" i="12"/>
  <c r="O36" i="12"/>
  <c r="N37" i="12"/>
  <c r="O37" i="12"/>
  <c r="N38" i="12"/>
  <c r="O38" i="12"/>
  <c r="O16" i="12"/>
  <c r="N16" i="12"/>
  <c r="O15" i="12"/>
  <c r="N15" i="12"/>
  <c r="R10" i="12"/>
  <c r="Q10" i="12"/>
  <c r="O10" i="12"/>
  <c r="N10" i="12"/>
  <c r="L10" i="12"/>
  <c r="K10" i="12"/>
  <c r="R9" i="12"/>
  <c r="Q9" i="12"/>
  <c r="O9" i="12"/>
  <c r="N9" i="12"/>
  <c r="L9" i="12"/>
  <c r="K9" i="12"/>
  <c r="R11" i="12"/>
  <c r="Q11" i="12"/>
  <c r="O11" i="12"/>
  <c r="N11" i="12"/>
  <c r="L11" i="12"/>
  <c r="K11" i="12"/>
  <c r="K12" i="12"/>
  <c r="R12" i="12"/>
  <c r="Q12" i="12"/>
  <c r="O12" i="12"/>
  <c r="N12" i="12"/>
  <c r="L12" i="12"/>
  <c r="K17" i="12"/>
  <c r="L17" i="12"/>
  <c r="K18" i="12"/>
  <c r="L18" i="12"/>
  <c r="K19" i="12"/>
  <c r="L19" i="12"/>
  <c r="K20" i="12"/>
  <c r="L20" i="12"/>
  <c r="K21" i="12"/>
  <c r="L21" i="12"/>
  <c r="K22" i="12"/>
  <c r="L22" i="12"/>
  <c r="K23" i="12"/>
  <c r="L23" i="12"/>
  <c r="K24" i="12"/>
  <c r="L24" i="12"/>
  <c r="K25" i="12"/>
  <c r="L25" i="12"/>
  <c r="K26" i="12"/>
  <c r="L26" i="12"/>
  <c r="K27" i="12"/>
  <c r="L27" i="12"/>
  <c r="K28" i="12"/>
  <c r="L28" i="12"/>
  <c r="K29" i="12"/>
  <c r="L29" i="12"/>
  <c r="K30" i="12"/>
  <c r="L30" i="12"/>
  <c r="K31" i="12"/>
  <c r="L31" i="12"/>
  <c r="K32" i="12"/>
  <c r="L32" i="12"/>
  <c r="K33" i="12"/>
  <c r="L33" i="12"/>
  <c r="K34" i="12"/>
  <c r="L34" i="12"/>
  <c r="K35" i="12"/>
  <c r="L35" i="12"/>
  <c r="K36" i="12"/>
  <c r="L36" i="12"/>
  <c r="K37" i="12"/>
  <c r="L37" i="12"/>
  <c r="K38" i="12"/>
  <c r="L38" i="12"/>
  <c r="L16" i="12"/>
  <c r="L15" i="12"/>
  <c r="K16" i="12"/>
  <c r="K15" i="12"/>
  <c r="AA13" i="12"/>
  <c r="AB13" i="12"/>
  <c r="AC13" i="12"/>
  <c r="AD13" i="12"/>
  <c r="Z13" i="12"/>
  <c r="Y13" i="12"/>
  <c r="AE39" i="12" l="1"/>
  <c r="AE41" i="12" s="1"/>
  <c r="Y39" i="12"/>
  <c r="Z39" i="12"/>
  <c r="AA39" i="12"/>
  <c r="AB39" i="12"/>
  <c r="AC39" i="12"/>
  <c r="AD39" i="12"/>
  <c r="J12" i="12" l="1"/>
  <c r="G39" i="12" l="1"/>
  <c r="G13" i="12"/>
  <c r="F39" i="12"/>
  <c r="G41" i="12" l="1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H30" i="12"/>
  <c r="I30" i="12"/>
  <c r="H31" i="12"/>
  <c r="I31" i="12"/>
  <c r="H32" i="12"/>
  <c r="I32" i="12"/>
  <c r="H33" i="12"/>
  <c r="I33" i="12"/>
  <c r="H34" i="12"/>
  <c r="I34" i="12"/>
  <c r="H35" i="12"/>
  <c r="I35" i="12"/>
  <c r="H36" i="12"/>
  <c r="I36" i="12"/>
  <c r="H37" i="12"/>
  <c r="I37" i="12"/>
  <c r="H38" i="12"/>
  <c r="I38" i="12"/>
  <c r="I16" i="12"/>
  <c r="H16" i="12"/>
  <c r="I15" i="12"/>
  <c r="H15" i="12"/>
  <c r="AH13" i="10" l="1"/>
  <c r="AI13" i="10"/>
  <c r="AH14" i="10"/>
  <c r="AI14" i="10"/>
  <c r="AH15" i="10"/>
  <c r="AI15" i="10"/>
  <c r="AH16" i="10"/>
  <c r="AI16" i="10"/>
  <c r="AH17" i="10"/>
  <c r="AI17" i="10"/>
  <c r="AI12" i="10"/>
  <c r="AI11" i="10"/>
  <c r="AH12" i="10"/>
  <c r="AH11" i="10"/>
  <c r="H39" i="12" l="1"/>
  <c r="I39" i="12"/>
  <c r="I13" i="12"/>
  <c r="H13" i="12"/>
  <c r="Z41" i="12"/>
  <c r="AA41" i="12"/>
  <c r="AC41" i="12"/>
  <c r="Y41" i="12"/>
  <c r="AB41" i="12"/>
  <c r="AD41" i="12"/>
  <c r="H41" i="12" l="1"/>
  <c r="I41" i="12"/>
  <c r="AN17" i="12"/>
  <c r="AN18" i="12"/>
  <c r="AN19" i="12"/>
  <c r="AN20" i="12"/>
  <c r="AN21" i="12"/>
  <c r="AN22" i="12"/>
  <c r="AN23" i="12"/>
  <c r="AN24" i="12"/>
  <c r="AN25" i="12"/>
  <c r="AN26" i="12"/>
  <c r="AN27" i="12"/>
  <c r="AN28" i="12"/>
  <c r="AN29" i="12"/>
  <c r="AN30" i="12"/>
  <c r="AN31" i="12"/>
  <c r="AN32" i="12"/>
  <c r="AN33" i="12"/>
  <c r="AN34" i="12"/>
  <c r="AN35" i="12"/>
  <c r="AN36" i="12"/>
  <c r="AN37" i="12"/>
  <c r="AN38" i="12"/>
  <c r="U9" i="12"/>
  <c r="U13" i="12" s="1"/>
  <c r="V9" i="12"/>
  <c r="W9" i="12"/>
  <c r="X9" i="12"/>
  <c r="V11" i="12"/>
  <c r="W11" i="12"/>
  <c r="X11" i="12"/>
  <c r="V39" i="12"/>
  <c r="W39" i="12"/>
  <c r="X39" i="12"/>
  <c r="U39" i="12" l="1"/>
  <c r="U41" i="12" s="1"/>
  <c r="W13" i="12"/>
  <c r="W41" i="12" s="1"/>
  <c r="V13" i="12"/>
  <c r="V41" i="12" s="1"/>
  <c r="X13" i="12"/>
  <c r="X41" i="12" s="1"/>
  <c r="AK24" i="12"/>
  <c r="AY39" i="12" l="1"/>
  <c r="AX39" i="12"/>
  <c r="AS39" i="12"/>
  <c r="AR39" i="12"/>
  <c r="E39" i="12"/>
  <c r="AH38" i="12"/>
  <c r="AK37" i="12"/>
  <c r="AK35" i="12"/>
  <c r="AP35" i="12"/>
  <c r="AQ35" i="12" s="1"/>
  <c r="AH34" i="12"/>
  <c r="AP34" i="12"/>
  <c r="AQ34" i="12" s="1"/>
  <c r="AP33" i="12"/>
  <c r="AQ33" i="12" s="1"/>
  <c r="AP32" i="12"/>
  <c r="AQ32" i="12" s="1"/>
  <c r="AK30" i="12"/>
  <c r="AH30" i="12"/>
  <c r="AK29" i="12"/>
  <c r="AH29" i="12"/>
  <c r="AP29" i="12"/>
  <c r="AQ29" i="12" s="1"/>
  <c r="AH27" i="12"/>
  <c r="AK25" i="12"/>
  <c r="AP24" i="12"/>
  <c r="AQ24" i="12" s="1"/>
  <c r="AK22" i="12"/>
  <c r="AP22" i="12"/>
  <c r="AQ22" i="12" s="1"/>
  <c r="AK21" i="12"/>
  <c r="AP21" i="12"/>
  <c r="AQ21" i="12" s="1"/>
  <c r="AH20" i="12"/>
  <c r="AP19" i="12"/>
  <c r="AQ19" i="12" s="1"/>
  <c r="M17" i="12"/>
  <c r="AN16" i="12"/>
  <c r="AK16" i="12"/>
  <c r="AP16" i="12"/>
  <c r="AQ16" i="12" s="1"/>
  <c r="AK15" i="12"/>
  <c r="AY13" i="12"/>
  <c r="AX13" i="12"/>
  <c r="AW13" i="12"/>
  <c r="AT13" i="12"/>
  <c r="AS13" i="12"/>
  <c r="AR13" i="12"/>
  <c r="AQ13" i="12"/>
  <c r="AN12" i="12"/>
  <c r="S12" i="12"/>
  <c r="M12" i="12"/>
  <c r="AP11" i="12"/>
  <c r="AU11" i="12"/>
  <c r="AV11" i="12" s="1"/>
  <c r="AP9" i="12"/>
  <c r="AN9" i="12"/>
  <c r="P9" i="12"/>
  <c r="J9" i="12"/>
  <c r="J13" i="12" s="1"/>
  <c r="AK18" i="10"/>
  <c r="AL18" i="10"/>
  <c r="AL19" i="10" s="1"/>
  <c r="M16" i="12" l="1"/>
  <c r="M25" i="12"/>
  <c r="M20" i="12"/>
  <c r="M35" i="12"/>
  <c r="P37" i="12"/>
  <c r="M30" i="12"/>
  <c r="P35" i="12"/>
  <c r="M29" i="12"/>
  <c r="P17" i="12"/>
  <c r="P19" i="12"/>
  <c r="P21" i="12"/>
  <c r="S28" i="12"/>
  <c r="AV28" i="12" s="1"/>
  <c r="AW28" i="12" s="1"/>
  <c r="S30" i="12"/>
  <c r="AV30" i="12" s="1"/>
  <c r="AW30" i="12" s="1"/>
  <c r="P16" i="12"/>
  <c r="S17" i="12"/>
  <c r="AV17" i="12" s="1"/>
  <c r="AW17" i="12" s="1"/>
  <c r="S18" i="12"/>
  <c r="AV18" i="12" s="1"/>
  <c r="AW18" i="12" s="1"/>
  <c r="S20" i="12"/>
  <c r="AV20" i="12" s="1"/>
  <c r="AW20" i="12" s="1"/>
  <c r="P23" i="12"/>
  <c r="S25" i="12"/>
  <c r="AV25" i="12" s="1"/>
  <c r="AW25" i="12" s="1"/>
  <c r="P29" i="12"/>
  <c r="AK20" i="12"/>
  <c r="P12" i="12"/>
  <c r="T12" i="12" s="1"/>
  <c r="AH16" i="12"/>
  <c r="AO16" i="12" s="1"/>
  <c r="M18" i="12"/>
  <c r="M34" i="12"/>
  <c r="AK34" i="12"/>
  <c r="S15" i="12"/>
  <c r="AV15" i="12" s="1"/>
  <c r="AH17" i="12"/>
  <c r="AP18" i="12"/>
  <c r="AQ18" i="12" s="1"/>
  <c r="AK23" i="12"/>
  <c r="AK28" i="12"/>
  <c r="AH32" i="12"/>
  <c r="P33" i="12"/>
  <c r="AP13" i="12"/>
  <c r="S27" i="12"/>
  <c r="AV27" i="12" s="1"/>
  <c r="AW27" i="12" s="1"/>
  <c r="S33" i="12"/>
  <c r="AV33" i="12" s="1"/>
  <c r="AW33" i="12" s="1"/>
  <c r="P11" i="12"/>
  <c r="P15" i="12"/>
  <c r="AH23" i="12"/>
  <c r="P24" i="12"/>
  <c r="AH28" i="12"/>
  <c r="M33" i="12"/>
  <c r="AK33" i="12"/>
  <c r="P36" i="12"/>
  <c r="P38" i="12"/>
  <c r="AK27" i="12"/>
  <c r="M11" i="12"/>
  <c r="M24" i="12"/>
  <c r="AO29" i="12"/>
  <c r="AH33" i="12"/>
  <c r="M36" i="12"/>
  <c r="M38" i="12"/>
  <c r="AK12" i="12"/>
  <c r="P20" i="12"/>
  <c r="M22" i="12"/>
  <c r="AK26" i="12"/>
  <c r="AH37" i="12"/>
  <c r="AO37" i="12" s="1"/>
  <c r="M19" i="12"/>
  <c r="S11" i="12"/>
  <c r="AF13" i="12"/>
  <c r="P22" i="12"/>
  <c r="P26" i="12"/>
  <c r="AH21" i="12"/>
  <c r="AO21" i="12" s="1"/>
  <c r="P28" i="12"/>
  <c r="P32" i="12"/>
  <c r="S29" i="12"/>
  <c r="AV29" i="12" s="1"/>
  <c r="AW29" i="12" s="1"/>
  <c r="AN11" i="12"/>
  <c r="AJ13" i="12"/>
  <c r="AP28" i="12"/>
  <c r="AQ28" i="12" s="1"/>
  <c r="AP30" i="12"/>
  <c r="AQ30" i="12" s="1"/>
  <c r="AH35" i="12"/>
  <c r="AO35" i="12" s="1"/>
  <c r="AH12" i="12"/>
  <c r="AR41" i="12"/>
  <c r="AN10" i="12"/>
  <c r="AO10" i="12" s="1"/>
  <c r="AS43" i="12"/>
  <c r="O13" i="12"/>
  <c r="AH11" i="12"/>
  <c r="AH24" i="12"/>
  <c r="P25" i="12"/>
  <c r="P30" i="12"/>
  <c r="M32" i="12"/>
  <c r="S36" i="12"/>
  <c r="AV36" i="12" s="1"/>
  <c r="AW36" i="12" s="1"/>
  <c r="S38" i="12"/>
  <c r="AV38" i="12" s="1"/>
  <c r="AW38" i="12" s="1"/>
  <c r="AP38" i="12"/>
  <c r="AQ38" i="12" s="1"/>
  <c r="AK31" i="12"/>
  <c r="AM13" i="12"/>
  <c r="AK36" i="12"/>
  <c r="M9" i="12"/>
  <c r="AI13" i="12"/>
  <c r="AH18" i="12"/>
  <c r="AK19" i="12"/>
  <c r="AH22" i="12"/>
  <c r="AH26" i="12"/>
  <c r="P27" i="12"/>
  <c r="AH36" i="12"/>
  <c r="M26" i="12"/>
  <c r="M31" i="12"/>
  <c r="J39" i="12"/>
  <c r="J41" i="12" s="1"/>
  <c r="AK38" i="12"/>
  <c r="M15" i="12"/>
  <c r="L39" i="12"/>
  <c r="M37" i="12"/>
  <c r="AO30" i="12"/>
  <c r="K13" i="12"/>
  <c r="P18" i="12"/>
  <c r="M21" i="12"/>
  <c r="AP36" i="12"/>
  <c r="AQ36" i="12" s="1"/>
  <c r="L13" i="12"/>
  <c r="P10" i="12"/>
  <c r="AK11" i="12"/>
  <c r="F13" i="12"/>
  <c r="F41" i="12" s="1"/>
  <c r="AL13" i="12"/>
  <c r="AP17" i="12"/>
  <c r="AQ17" i="12" s="1"/>
  <c r="AP20" i="12"/>
  <c r="AQ20" i="12" s="1"/>
  <c r="M27" i="12"/>
  <c r="P31" i="12"/>
  <c r="S16" i="12"/>
  <c r="AK17" i="12"/>
  <c r="AP25" i="12"/>
  <c r="AQ25" i="12" s="1"/>
  <c r="M28" i="12"/>
  <c r="E13" i="12"/>
  <c r="E41" i="12" s="1"/>
  <c r="AM39" i="12"/>
  <c r="AG13" i="12"/>
  <c r="N13" i="12"/>
  <c r="R39" i="12"/>
  <c r="AH19" i="12"/>
  <c r="M23" i="12"/>
  <c r="AH25" i="12"/>
  <c r="AO25" i="12" s="1"/>
  <c r="AH31" i="12"/>
  <c r="AK32" i="12"/>
  <c r="S34" i="12"/>
  <c r="AV34" i="12" s="1"/>
  <c r="AW34" i="12" s="1"/>
  <c r="AN15" i="12"/>
  <c r="AL39" i="12"/>
  <c r="S21" i="12"/>
  <c r="AP31" i="12"/>
  <c r="AQ31" i="12" s="1"/>
  <c r="S31" i="12"/>
  <c r="S22" i="12"/>
  <c r="K39" i="12"/>
  <c r="AF39" i="12"/>
  <c r="S24" i="12"/>
  <c r="AP27" i="12"/>
  <c r="AQ27" i="12" s="1"/>
  <c r="S32" i="12"/>
  <c r="AP37" i="12"/>
  <c r="AQ37" i="12" s="1"/>
  <c r="S37" i="12"/>
  <c r="AH15" i="12"/>
  <c r="S19" i="12"/>
  <c r="Q39" i="12"/>
  <c r="AP15" i="12"/>
  <c r="AP26" i="12"/>
  <c r="AQ26" i="12" s="1"/>
  <c r="S26" i="12"/>
  <c r="AP23" i="12"/>
  <c r="AQ23" i="12" s="1"/>
  <c r="S23" i="12"/>
  <c r="Q13" i="12"/>
  <c r="S10" i="12"/>
  <c r="N39" i="12"/>
  <c r="M10" i="12"/>
  <c r="AH9" i="12"/>
  <c r="AG39" i="12"/>
  <c r="S35" i="12"/>
  <c r="R13" i="12"/>
  <c r="AU9" i="12"/>
  <c r="AK9" i="12"/>
  <c r="AI39" i="12"/>
  <c r="S9" i="12"/>
  <c r="O39" i="12"/>
  <c r="AJ39" i="12"/>
  <c r="AK18" i="12"/>
  <c r="P34" i="12"/>
  <c r="AS41" i="12"/>
  <c r="AO19" i="12" l="1"/>
  <c r="AJ14" i="10"/>
  <c r="AJ17" i="10"/>
  <c r="T25" i="12"/>
  <c r="AN13" i="12"/>
  <c r="T16" i="12"/>
  <c r="AO34" i="12"/>
  <c r="T17" i="12"/>
  <c r="T30" i="12"/>
  <c r="AO36" i="12"/>
  <c r="AO20" i="12"/>
  <c r="T20" i="12"/>
  <c r="AF41" i="12"/>
  <c r="T33" i="12"/>
  <c r="AO28" i="12"/>
  <c r="AO17" i="12"/>
  <c r="AO23" i="12"/>
  <c r="P13" i="12"/>
  <c r="AO38" i="12"/>
  <c r="AO12" i="12"/>
  <c r="AO26" i="12"/>
  <c r="L41" i="12"/>
  <c r="T36" i="12"/>
  <c r="AM41" i="12"/>
  <c r="T27" i="12"/>
  <c r="AO27" i="12"/>
  <c r="T28" i="12"/>
  <c r="AO33" i="12"/>
  <c r="AO22" i="12"/>
  <c r="T38" i="12"/>
  <c r="AO24" i="12"/>
  <c r="T11" i="12"/>
  <c r="AO32" i="12"/>
  <c r="T15" i="12"/>
  <c r="AO31" i="12"/>
  <c r="AK13" i="12"/>
  <c r="AL41" i="12"/>
  <c r="P39" i="12"/>
  <c r="N41" i="12"/>
  <c r="M39" i="12"/>
  <c r="AO18" i="12"/>
  <c r="AJ41" i="12"/>
  <c r="AG41" i="12"/>
  <c r="R41" i="12"/>
  <c r="T29" i="12"/>
  <c r="O41" i="12"/>
  <c r="AH13" i="12"/>
  <c r="AO11" i="12"/>
  <c r="AV16" i="12"/>
  <c r="AW16" i="12" s="1"/>
  <c r="T34" i="12"/>
  <c r="T10" i="12"/>
  <c r="AO9" i="12"/>
  <c r="K41" i="12"/>
  <c r="T18" i="12"/>
  <c r="AI41" i="12"/>
  <c r="AH39" i="12"/>
  <c r="AK39" i="12"/>
  <c r="S13" i="12"/>
  <c r="Q41" i="12"/>
  <c r="AV32" i="12"/>
  <c r="AW32" i="12" s="1"/>
  <c r="T32" i="12"/>
  <c r="AO15" i="12"/>
  <c r="AN39" i="12"/>
  <c r="AV9" i="12"/>
  <c r="AV13" i="12" s="1"/>
  <c r="AU13" i="12"/>
  <c r="T31" i="12"/>
  <c r="AV31" i="12"/>
  <c r="AW31" i="12" s="1"/>
  <c r="T9" i="12"/>
  <c r="AW15" i="12"/>
  <c r="T35" i="12"/>
  <c r="AV35" i="12"/>
  <c r="AW35" i="12" s="1"/>
  <c r="AV23" i="12"/>
  <c r="AW23" i="12" s="1"/>
  <c r="T23" i="12"/>
  <c r="AQ15" i="12"/>
  <c r="AQ39" i="12" s="1"/>
  <c r="AQ41" i="12" s="1"/>
  <c r="AP39" i="12"/>
  <c r="AP41" i="12" s="1"/>
  <c r="AV19" i="12"/>
  <c r="AW19" i="12" s="1"/>
  <c r="T19" i="12"/>
  <c r="T37" i="12"/>
  <c r="AV37" i="12"/>
  <c r="AW37" i="12" s="1"/>
  <c r="T21" i="12"/>
  <c r="AV21" i="12"/>
  <c r="AW21" i="12" s="1"/>
  <c r="AV24" i="12"/>
  <c r="AW24" i="12" s="1"/>
  <c r="T24" i="12"/>
  <c r="T26" i="12"/>
  <c r="AV26" i="12"/>
  <c r="AW26" i="12" s="1"/>
  <c r="T22" i="12"/>
  <c r="AV22" i="12"/>
  <c r="AW22" i="12" s="1"/>
  <c r="M13" i="12"/>
  <c r="S39" i="12"/>
  <c r="AJ15" i="10"/>
  <c r="AJ16" i="10"/>
  <c r="AJ12" i="10"/>
  <c r="AH18" i="10"/>
  <c r="AJ13" i="10"/>
  <c r="AI18" i="10"/>
  <c r="AJ11" i="10"/>
  <c r="AH22" i="10"/>
  <c r="AI22" i="10"/>
  <c r="AH23" i="10"/>
  <c r="AI23" i="10"/>
  <c r="AH24" i="10"/>
  <c r="AI24" i="10"/>
  <c r="AH25" i="10"/>
  <c r="AI25" i="10"/>
  <c r="AH26" i="10"/>
  <c r="AI26" i="10"/>
  <c r="AH27" i="10"/>
  <c r="AI27" i="10"/>
  <c r="AH28" i="10"/>
  <c r="AI28" i="10"/>
  <c r="AH29" i="10"/>
  <c r="AI29" i="10"/>
  <c r="AH30" i="10"/>
  <c r="AI30" i="10"/>
  <c r="AH31" i="10"/>
  <c r="AI31" i="10"/>
  <c r="AH32" i="10"/>
  <c r="AI32" i="10"/>
  <c r="AH33" i="10"/>
  <c r="AI33" i="10"/>
  <c r="AH34" i="10"/>
  <c r="AI34" i="10"/>
  <c r="AH35" i="10"/>
  <c r="AI35" i="10"/>
  <c r="AH36" i="10"/>
  <c r="AI36" i="10"/>
  <c r="AH37" i="10"/>
  <c r="AI37" i="10"/>
  <c r="AH38" i="10"/>
  <c r="AI38" i="10"/>
  <c r="AH39" i="10"/>
  <c r="AI39" i="10"/>
  <c r="AH40" i="10"/>
  <c r="AI40" i="10"/>
  <c r="AH41" i="10"/>
  <c r="AI41" i="10"/>
  <c r="AH42" i="10"/>
  <c r="AI42" i="10"/>
  <c r="AH43" i="10"/>
  <c r="AI43" i="10"/>
  <c r="AI21" i="10"/>
  <c r="AI20" i="10"/>
  <c r="AH21" i="10"/>
  <c r="AH20" i="10"/>
  <c r="AL44" i="10"/>
  <c r="AL46" i="10" s="1"/>
  <c r="AK44" i="10"/>
  <c r="AK46" i="10" s="1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21" i="10"/>
  <c r="K20" i="10"/>
  <c r="J44" i="10"/>
  <c r="I44" i="10"/>
  <c r="AM22" i="10"/>
  <c r="AM23" i="10"/>
  <c r="AM24" i="10"/>
  <c r="AM25" i="10"/>
  <c r="AM26" i="10"/>
  <c r="AM27" i="10"/>
  <c r="AM28" i="10"/>
  <c r="AM29" i="10"/>
  <c r="AM30" i="10"/>
  <c r="AM31" i="10"/>
  <c r="AM32" i="10"/>
  <c r="AM33" i="10"/>
  <c r="AM34" i="10"/>
  <c r="AM35" i="10"/>
  <c r="AM36" i="10"/>
  <c r="AM37" i="10"/>
  <c r="AM38" i="10"/>
  <c r="AM39" i="10"/>
  <c r="AM40" i="10"/>
  <c r="AM41" i="10"/>
  <c r="AM42" i="10"/>
  <c r="AM43" i="10"/>
  <c r="AM21" i="10"/>
  <c r="AM20" i="10"/>
  <c r="AM13" i="10"/>
  <c r="AM14" i="10"/>
  <c r="AM15" i="10"/>
  <c r="AM16" i="10"/>
  <c r="AM17" i="10"/>
  <c r="AM12" i="10"/>
  <c r="AM1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21" i="10"/>
  <c r="AE20" i="10"/>
  <c r="AD22" i="10"/>
  <c r="AD23" i="10"/>
  <c r="AD24" i="10"/>
  <c r="AD25" i="10"/>
  <c r="AD26" i="10"/>
  <c r="AD27" i="10"/>
  <c r="AD28" i="10"/>
  <c r="AD29" i="10"/>
  <c r="AD30" i="10"/>
  <c r="AD31" i="10"/>
  <c r="AD32" i="10"/>
  <c r="AD33" i="10"/>
  <c r="AD34" i="10"/>
  <c r="AD35" i="10"/>
  <c r="AD36" i="10"/>
  <c r="AD37" i="10"/>
  <c r="AD38" i="10"/>
  <c r="AD39" i="10"/>
  <c r="AD40" i="10"/>
  <c r="AD41" i="10"/>
  <c r="AD42" i="10"/>
  <c r="AD43" i="10"/>
  <c r="AD21" i="10"/>
  <c r="AD20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21" i="10"/>
  <c r="Y20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X36" i="10"/>
  <c r="X37" i="10"/>
  <c r="X38" i="10"/>
  <c r="X39" i="10"/>
  <c r="X40" i="10"/>
  <c r="X41" i="10"/>
  <c r="X42" i="10"/>
  <c r="X43" i="10"/>
  <c r="X21" i="10"/>
  <c r="X20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21" i="10"/>
  <c r="S20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21" i="10"/>
  <c r="R20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M21" i="10"/>
  <c r="M20" i="10"/>
  <c r="L21" i="10"/>
  <c r="L20" i="10"/>
  <c r="AE13" i="10"/>
  <c r="AE14" i="10"/>
  <c r="AE15" i="10"/>
  <c r="AE16" i="10"/>
  <c r="AE17" i="10"/>
  <c r="AE12" i="10"/>
  <c r="AE11" i="10"/>
  <c r="AD13" i="10"/>
  <c r="AD14" i="10"/>
  <c r="AD15" i="10"/>
  <c r="AD16" i="10"/>
  <c r="AD17" i="10"/>
  <c r="AD12" i="10"/>
  <c r="AD11" i="10"/>
  <c r="Y13" i="10"/>
  <c r="Y14" i="10"/>
  <c r="Y15" i="10"/>
  <c r="Y16" i="10"/>
  <c r="Y17" i="10"/>
  <c r="Y12" i="10"/>
  <c r="Y11" i="10"/>
  <c r="X13" i="10"/>
  <c r="X14" i="10"/>
  <c r="X15" i="10"/>
  <c r="X16" i="10"/>
  <c r="X17" i="10"/>
  <c r="X12" i="10"/>
  <c r="X11" i="10"/>
  <c r="S13" i="10"/>
  <c r="S14" i="10"/>
  <c r="S15" i="10"/>
  <c r="S16" i="10"/>
  <c r="S17" i="10"/>
  <c r="S12" i="10"/>
  <c r="S11" i="10"/>
  <c r="R13" i="10"/>
  <c r="R14" i="10"/>
  <c r="R15" i="10"/>
  <c r="R16" i="10"/>
  <c r="R17" i="10"/>
  <c r="R12" i="10"/>
  <c r="R11" i="10"/>
  <c r="L13" i="10"/>
  <c r="L14" i="10"/>
  <c r="L15" i="10"/>
  <c r="L16" i="10"/>
  <c r="L17" i="10"/>
  <c r="M13" i="10"/>
  <c r="M14" i="10"/>
  <c r="M15" i="10"/>
  <c r="M16" i="10"/>
  <c r="M17" i="10"/>
  <c r="M12" i="10"/>
  <c r="M11" i="10"/>
  <c r="L12" i="10"/>
  <c r="L11" i="10"/>
  <c r="AJ41" i="10" l="1"/>
  <c r="AJ35" i="10"/>
  <c r="AJ29" i="10"/>
  <c r="AJ23" i="10"/>
  <c r="AJ18" i="10"/>
  <c r="AM18" i="10"/>
  <c r="AM19" i="10" s="1"/>
  <c r="M41" i="12"/>
  <c r="AM44" i="10"/>
  <c r="AN41" i="12"/>
  <c r="P41" i="12"/>
  <c r="T13" i="12"/>
  <c r="AK41" i="12"/>
  <c r="AH41" i="12"/>
  <c r="AO13" i="12"/>
  <c r="AO39" i="12"/>
  <c r="AW39" i="12"/>
  <c r="T39" i="12"/>
  <c r="S41" i="12"/>
  <c r="AV39" i="12"/>
  <c r="AJ40" i="10"/>
  <c r="AJ34" i="10"/>
  <c r="AJ28" i="10"/>
  <c r="AJ22" i="10"/>
  <c r="AJ32" i="10"/>
  <c r="AJ33" i="10"/>
  <c r="AJ21" i="10"/>
  <c r="AJ38" i="10"/>
  <c r="AJ26" i="10"/>
  <c r="AJ43" i="10"/>
  <c r="AJ37" i="10"/>
  <c r="AJ31" i="10"/>
  <c r="AJ25" i="10"/>
  <c r="AJ42" i="10"/>
  <c r="AJ36" i="10"/>
  <c r="AJ30" i="10"/>
  <c r="AJ24" i="10"/>
  <c r="AJ39" i="10"/>
  <c r="AJ20" i="10"/>
  <c r="AJ27" i="10"/>
  <c r="K44" i="10"/>
  <c r="AH44" i="10"/>
  <c r="AH46" i="10" s="1"/>
  <c r="AI44" i="10"/>
  <c r="AI46" i="10" s="1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21" i="10"/>
  <c r="Q20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21" i="10"/>
  <c r="T20" i="10"/>
  <c r="W22" i="10"/>
  <c r="W23" i="10"/>
  <c r="W24" i="10"/>
  <c r="W25" i="10"/>
  <c r="W26" i="10"/>
  <c r="W27" i="10"/>
  <c r="W28" i="10"/>
  <c r="W29" i="10"/>
  <c r="W30" i="10"/>
  <c r="W31" i="10"/>
  <c r="W32" i="10"/>
  <c r="W33" i="10"/>
  <c r="W34" i="10"/>
  <c r="W35" i="10"/>
  <c r="W36" i="10"/>
  <c r="W37" i="10"/>
  <c r="W38" i="10"/>
  <c r="W39" i="10"/>
  <c r="W40" i="10"/>
  <c r="W41" i="10"/>
  <c r="W42" i="10"/>
  <c r="W43" i="10"/>
  <c r="W21" i="10"/>
  <c r="W20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Z39" i="10"/>
  <c r="Z40" i="10"/>
  <c r="Z41" i="10"/>
  <c r="Z42" i="10"/>
  <c r="Z43" i="10"/>
  <c r="Z21" i="10"/>
  <c r="Z20" i="10"/>
  <c r="AC22" i="10"/>
  <c r="AC23" i="10"/>
  <c r="AC24" i="10"/>
  <c r="AC25" i="10"/>
  <c r="AC26" i="10"/>
  <c r="AC27" i="10"/>
  <c r="AC28" i="10"/>
  <c r="AC29" i="10"/>
  <c r="AC30" i="10"/>
  <c r="AC31" i="10"/>
  <c r="AC32" i="10"/>
  <c r="AC33" i="10"/>
  <c r="AC34" i="10"/>
  <c r="AC35" i="10"/>
  <c r="AC36" i="10"/>
  <c r="AC37" i="10"/>
  <c r="AC38" i="10"/>
  <c r="AC39" i="10"/>
  <c r="AC40" i="10"/>
  <c r="AC41" i="10"/>
  <c r="AC42" i="10"/>
  <c r="AC43" i="10"/>
  <c r="AC21" i="10"/>
  <c r="AC20" i="10"/>
  <c r="AF22" i="10"/>
  <c r="AF23" i="10"/>
  <c r="AF24" i="10"/>
  <c r="AF25" i="10"/>
  <c r="AF26" i="10"/>
  <c r="AF27" i="10"/>
  <c r="AF28" i="10"/>
  <c r="AF29" i="10"/>
  <c r="AF30" i="10"/>
  <c r="AF31" i="10"/>
  <c r="AF32" i="10"/>
  <c r="AF33" i="10"/>
  <c r="AF34" i="10"/>
  <c r="AF35" i="10"/>
  <c r="AF36" i="10"/>
  <c r="AF37" i="10"/>
  <c r="AF38" i="10"/>
  <c r="AF39" i="10"/>
  <c r="AF40" i="10"/>
  <c r="AF41" i="10"/>
  <c r="AF42" i="10"/>
  <c r="AF43" i="10"/>
  <c r="AF21" i="10"/>
  <c r="AF20" i="10"/>
  <c r="AF13" i="10"/>
  <c r="AF14" i="10"/>
  <c r="AF15" i="10"/>
  <c r="AF16" i="10"/>
  <c r="AF17" i="10"/>
  <c r="AF12" i="10"/>
  <c r="AF11" i="10"/>
  <c r="AC13" i="10"/>
  <c r="AC14" i="10"/>
  <c r="AC15" i="10"/>
  <c r="AC16" i="10"/>
  <c r="AC17" i="10"/>
  <c r="AC12" i="10"/>
  <c r="AC11" i="10"/>
  <c r="Z13" i="10"/>
  <c r="Z14" i="10"/>
  <c r="Z15" i="10"/>
  <c r="Z16" i="10"/>
  <c r="Z17" i="10"/>
  <c r="Z12" i="10"/>
  <c r="Z11" i="10"/>
  <c r="W13" i="10"/>
  <c r="W14" i="10"/>
  <c r="W15" i="10"/>
  <c r="W16" i="10"/>
  <c r="W17" i="10"/>
  <c r="W12" i="10"/>
  <c r="W11" i="10"/>
  <c r="Q13" i="10"/>
  <c r="Q14" i="10"/>
  <c r="Q15" i="10"/>
  <c r="Q16" i="10"/>
  <c r="Q17" i="10"/>
  <c r="Q12" i="10"/>
  <c r="Q11" i="10"/>
  <c r="T13" i="10"/>
  <c r="T14" i="10"/>
  <c r="T15" i="10"/>
  <c r="T16" i="10"/>
  <c r="T17" i="10"/>
  <c r="T12" i="10"/>
  <c r="T11" i="10"/>
  <c r="U18" i="10"/>
  <c r="V18" i="10"/>
  <c r="X18" i="10"/>
  <c r="Y18" i="10"/>
  <c r="AA18" i="10"/>
  <c r="AB18" i="10"/>
  <c r="AD18" i="10"/>
  <c r="AE18" i="10"/>
  <c r="P18" i="10"/>
  <c r="R18" i="10"/>
  <c r="S18" i="10"/>
  <c r="O18" i="10"/>
  <c r="N13" i="10"/>
  <c r="N14" i="10"/>
  <c r="N15" i="10"/>
  <c r="N16" i="10"/>
  <c r="N17" i="10"/>
  <c r="N12" i="10"/>
  <c r="N11" i="10"/>
  <c r="J18" i="10"/>
  <c r="L18" i="10"/>
  <c r="M18" i="10"/>
  <c r="I18" i="10"/>
  <c r="K13" i="10"/>
  <c r="K14" i="10"/>
  <c r="K15" i="10"/>
  <c r="K16" i="10"/>
  <c r="K17" i="10"/>
  <c r="K12" i="10"/>
  <c r="K11" i="10"/>
  <c r="G18" i="10"/>
  <c r="H13" i="10"/>
  <c r="H14" i="10"/>
  <c r="H15" i="10"/>
  <c r="H16" i="10"/>
  <c r="H17" i="10"/>
  <c r="H12" i="10"/>
  <c r="H11" i="10"/>
  <c r="F18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21" i="10"/>
  <c r="H20" i="10"/>
  <c r="G44" i="10"/>
  <c r="L44" i="10"/>
  <c r="M44" i="10"/>
  <c r="O44" i="10"/>
  <c r="P44" i="10"/>
  <c r="R44" i="10"/>
  <c r="S44" i="10"/>
  <c r="U44" i="10"/>
  <c r="V44" i="10"/>
  <c r="X44" i="10"/>
  <c r="Y44" i="10"/>
  <c r="AA44" i="10"/>
  <c r="AB44" i="10"/>
  <c r="AD44" i="10"/>
  <c r="AE44" i="10"/>
  <c r="F44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21" i="10"/>
  <c r="N20" i="10"/>
  <c r="AM46" i="10" l="1"/>
  <c r="AO41" i="12"/>
  <c r="T41" i="12"/>
  <c r="AJ44" i="10"/>
  <c r="AJ46" i="10" s="1"/>
  <c r="AG39" i="10"/>
  <c r="AG27" i="10"/>
  <c r="AG38" i="10"/>
  <c r="AG26" i="10"/>
  <c r="AG37" i="10"/>
  <c r="AG25" i="10"/>
  <c r="AG36" i="10"/>
  <c r="AG24" i="10"/>
  <c r="AG23" i="10"/>
  <c r="AG35" i="10"/>
  <c r="AG22" i="10"/>
  <c r="AB46" i="10"/>
  <c r="AG20" i="10"/>
  <c r="AG33" i="10"/>
  <c r="AG34" i="10"/>
  <c r="AG21" i="10"/>
  <c r="AG32" i="10"/>
  <c r="O46" i="10"/>
  <c r="G46" i="10"/>
  <c r="AG43" i="10"/>
  <c r="AG42" i="10"/>
  <c r="AG41" i="10"/>
  <c r="AG29" i="10"/>
  <c r="AG31" i="10"/>
  <c r="AG30" i="10"/>
  <c r="AG40" i="10"/>
  <c r="AG28" i="10"/>
  <c r="R46" i="10"/>
  <c r="M46" i="10"/>
  <c r="L46" i="10"/>
  <c r="P46" i="10"/>
  <c r="J46" i="10"/>
  <c r="S46" i="10"/>
  <c r="T44" i="10"/>
  <c r="U46" i="10"/>
  <c r="AE46" i="10"/>
  <c r="AD46" i="10"/>
  <c r="AC44" i="10"/>
  <c r="Z44" i="10"/>
  <c r="W44" i="10"/>
  <c r="Q44" i="10"/>
  <c r="I46" i="10"/>
  <c r="AA46" i="10"/>
  <c r="Y46" i="10"/>
  <c r="X46" i="10"/>
  <c r="V46" i="10"/>
  <c r="AF44" i="10"/>
  <c r="N18" i="10"/>
  <c r="U50" i="10" s="1"/>
  <c r="K18" i="10"/>
  <c r="F46" i="10"/>
  <c r="H18" i="10"/>
  <c r="N44" i="10"/>
  <c r="AG11" i="10"/>
  <c r="AG12" i="10"/>
  <c r="T18" i="10"/>
  <c r="AG16" i="10"/>
  <c r="AC18" i="10"/>
  <c r="AG15" i="10"/>
  <c r="AG14" i="10"/>
  <c r="AG17" i="10"/>
  <c r="AG13" i="10"/>
  <c r="H44" i="10"/>
  <c r="W18" i="10"/>
  <c r="Z18" i="10"/>
  <c r="AF18" i="10"/>
  <c r="Q18" i="10"/>
  <c r="I50" i="10" l="1"/>
  <c r="I51" i="10"/>
  <c r="AG51" i="10"/>
  <c r="AF46" i="10"/>
  <c r="AG44" i="10"/>
  <c r="Z46" i="10"/>
  <c r="Q46" i="10"/>
  <c r="W46" i="10"/>
  <c r="AC46" i="10"/>
  <c r="N46" i="10"/>
  <c r="AG50" i="10"/>
  <c r="T46" i="10"/>
  <c r="U51" i="10"/>
  <c r="U52" i="10" s="1"/>
  <c r="K46" i="10"/>
  <c r="H46" i="10"/>
  <c r="AG18" i="10"/>
  <c r="I52" i="10" l="1"/>
  <c r="I48" i="10"/>
  <c r="AG46" i="10"/>
  <c r="AG52" i="10"/>
  <c r="O54" i="10" s="1"/>
</calcChain>
</file>

<file path=xl/sharedStrings.xml><?xml version="1.0" encoding="utf-8"?>
<sst xmlns="http://schemas.openxmlformats.org/spreadsheetml/2006/main" count="325" uniqueCount="173">
  <si>
    <t>استان</t>
  </si>
  <si>
    <t>آذربایجان شرقی</t>
  </si>
  <si>
    <t>مرکزی</t>
  </si>
  <si>
    <t>بوشهر</t>
  </si>
  <si>
    <t>ایلام</t>
  </si>
  <si>
    <t>کرمانشاه</t>
  </si>
  <si>
    <t>البرز</t>
  </si>
  <si>
    <t>آذربایجان غربی</t>
  </si>
  <si>
    <t xml:space="preserve">ردیف </t>
  </si>
  <si>
    <t>مسکونی</t>
  </si>
  <si>
    <t>تجاری</t>
  </si>
  <si>
    <t>مجموع</t>
  </si>
  <si>
    <t>اصفهان</t>
  </si>
  <si>
    <t>لرستان</t>
  </si>
  <si>
    <t>قزوین</t>
  </si>
  <si>
    <t>قم</t>
  </si>
  <si>
    <t>کردستان</t>
  </si>
  <si>
    <t>همدان</t>
  </si>
  <si>
    <t>تهران</t>
  </si>
  <si>
    <t>فارس</t>
  </si>
  <si>
    <t>زنجان</t>
  </si>
  <si>
    <t>نتایج ارزیابی انجام گرفته</t>
  </si>
  <si>
    <t>خوزستان</t>
  </si>
  <si>
    <t>لوازم معیشتی آسیب دیده</t>
  </si>
  <si>
    <t>تعداد شهر و روستا آسیب دیده</t>
  </si>
  <si>
    <t>شهر</t>
  </si>
  <si>
    <t>روستا</t>
  </si>
  <si>
    <t>یزد</t>
  </si>
  <si>
    <t>کرمان</t>
  </si>
  <si>
    <t>ارومیه، سلماس، مهاباد، نقده، اشنویه، بوکان، سردشت، پیرانشهر، ماکو، تکاب، میاندوآب، شاهیندژ</t>
  </si>
  <si>
    <t>سمنان</t>
  </si>
  <si>
    <t>مازندران</t>
  </si>
  <si>
    <t>گیلان</t>
  </si>
  <si>
    <t>رامسر</t>
  </si>
  <si>
    <t>سمنان، درجزین، شهمیرزاد</t>
  </si>
  <si>
    <t>کرج</t>
  </si>
  <si>
    <t>تبریز</t>
  </si>
  <si>
    <t>شیراز</t>
  </si>
  <si>
    <t>اهواز</t>
  </si>
  <si>
    <t xml:space="preserve"> تعمیری </t>
  </si>
  <si>
    <t>کلان شهرها (شهرهای با جمعیت یک میلیون نفر و بیشتر)</t>
  </si>
  <si>
    <t>سایر شهرها (کمتر از یک میلیون جمعیت) و روستاها</t>
  </si>
  <si>
    <t>معیشتی</t>
  </si>
  <si>
    <t>کلان شهر/شهر/ روستا</t>
  </si>
  <si>
    <t>تفکیک جمعیتی</t>
  </si>
  <si>
    <t>روستاهای شهر قم</t>
  </si>
  <si>
    <t>هرمزگان</t>
  </si>
  <si>
    <t>تعداد تعمیری نوع سه</t>
  </si>
  <si>
    <t xml:space="preserve">تعداد واحد احداثی </t>
  </si>
  <si>
    <t xml:space="preserve">تعداد واحد تعمیری یک </t>
  </si>
  <si>
    <t>تعداد تعمیری دو</t>
  </si>
  <si>
    <t>جمع کل اعتبار مورد نیاز کلان شهرها و سایر شهرها و روستاهای کشور (میلیون ريال)</t>
  </si>
  <si>
    <t>جمع  ارزیابی و اعتبار موردنیاز کلان شهرها (شهرهای با جمعیت یک میلیون نفر و بیشتر)</t>
  </si>
  <si>
    <t>جمع  ارزیابی و برآورد اعتبار مورد نیاز سایر شهرها و روستاها</t>
  </si>
  <si>
    <t>فارسان</t>
  </si>
  <si>
    <t>چهار محال و بختیاری</t>
  </si>
  <si>
    <t xml:space="preserve">جمع کل تعداد ارزیابی احداثی و تعمیری در سایر شهرها و روستاهای کشور </t>
  </si>
  <si>
    <t>گزارش اولیه ارزیابی خسارات وارده به واحدهای مسکونی، تجاری و اداری بخش خصوصی ناشی از جنگ تحمیلی رژیم صهیونی و آمریکای جنایتکار - اسفند 1404</t>
  </si>
  <si>
    <t>قصرشیرین، صحنه، روانسر، سنقر، گیلانغرب، هرسین، پاوه، جوانرود، سرپل ذهاب، دالاهو، اسلام آباد، کنگاور، ثلاث</t>
  </si>
  <si>
    <t>فریدن، لنجان، برخوار، خمینی شهر، آران و بیدگل، شهرضا، دهاقان، جرقویه، نجف آباد، فلاورجان، تیران و کرون، شاهین شهر و میمه، چادگان، خوانسار، مبارکه، هرند، کاشان، اصفهان 2</t>
  </si>
  <si>
    <t>زنجان، ابهر، ایجرود</t>
  </si>
  <si>
    <t>بانه، بیجار، دهگلان، دیواندره، سروآباد، سقز، سنندج، قروه، کامیاران، مریوان</t>
  </si>
  <si>
    <t xml:space="preserve">جمع کل تعداد ارزیابی احداثی و تعمیری کلان شهرهای کشور </t>
  </si>
  <si>
    <t>کلان شهرها</t>
  </si>
  <si>
    <t>اعتبار مورد نیاز احداث  (میلیون ريال)</t>
  </si>
  <si>
    <t>جمع کل اعتبار مورد نیاز  تعمیر(میلیون ريال)</t>
  </si>
  <si>
    <t>جمع کل اعتبار مورد نیاز (میلیون ريال)</t>
  </si>
  <si>
    <t>سایر شهرها و روستاهای کشور</t>
  </si>
  <si>
    <t>جمع کل اعتبار مورد نیاز  تعمیر (میلیون ريال)</t>
  </si>
  <si>
    <t>جمع کل اعتبار مورد نیاز کل  (میلیون ريال)</t>
  </si>
  <si>
    <t>برآورد اعتبار مورد نیاز  استان (میلیون ريال)</t>
  </si>
  <si>
    <t>کل اعتبار مورد نیاز بازسازی واحدهای احداثی و مقاوم سازی و تعمیری (میلیون ريال)</t>
  </si>
  <si>
    <t>جمع کل تعداد واحدهای احداثی و تعمیری در کلان شهرها و سایر شهرها و روستاهای کشور</t>
  </si>
  <si>
    <t>ارزیابی و برآورد اولیه اعتبار مورد نیاز بازسازی و تعمیر واحدهای مسکونی، تجاری و اداری بخش خصوصی ناشی از جنگ تحمیلی رژیم صهیونی و آمریکای جنایتکار - اسفند 1404         دستگاه اجرایی: بنیاد مسکن انقلاب اسلامی</t>
  </si>
  <si>
    <t>سیرجان، کرمان</t>
  </si>
  <si>
    <t>خمین، محلات، اراک</t>
  </si>
  <si>
    <t>اندیمشک، ماهشهر،کارون، بهبهان، دزفول، شوشتر، رامشیر، رامهرمز، باوی، هفتکل، شادگان، مسجدسلیمان، حمیدیه، دشت آزادگان</t>
  </si>
  <si>
    <t>بستان آباد، مرند، هشترود، مراغه، آذرشهر، شبستر، ملکان، سراب، اسکو، عجب شیر، بناب، میانه</t>
  </si>
  <si>
    <t>انزلی، آستانه، شفت</t>
  </si>
  <si>
    <t>خرم آباد، بروجرد، الیگودرز، ازنا، پلدختر، چگینی، دلفان، دورود، رومشکان، سلسله، کوهدشت، معمولان</t>
  </si>
  <si>
    <t>یزد، تفت</t>
  </si>
  <si>
    <t>ری، شمیرانات، شهریار، ورامین، اسلامشهر، رباط کریم، ملارد، بهارستان، پاکدشت، قرچک، پیشوا، پردیس، دماوند، قدس، فیروزکوه</t>
  </si>
  <si>
    <t>ایلام، ایوان، آبدانان، سرابباغ، بدره، سرابله، آسمان آباد، چوار، دره شهر، ماژین دهلران، لومار، ارکواز، دلگشا، مهران، توحید</t>
  </si>
  <si>
    <t>ملایر، همدان، فامنین، درگزین، رزن، کبودرآهنگ، اسدآباد</t>
  </si>
  <si>
    <t>بوشهر، خارک، چغادک، جم، برازجان، دیر، عسلویه</t>
  </si>
  <si>
    <t>قزوین، بوئین زهرا، الوند، آبیک</t>
  </si>
  <si>
    <t>لامرد، لارستان، جهرم</t>
  </si>
  <si>
    <t>کرج، محمدشهر، گرمدره، ماهدشت، کمالشهر، بیلقان، فردیس، مشکین شهر، گلسار، مهستان، چهارباغ، نظرآباد، اشتهارد</t>
  </si>
  <si>
    <t>تاریخ گزارش : 1405/01/28</t>
  </si>
  <si>
    <t>بندرعباس، بندر لنگه، حاجی آباد، پارسیان، سیریک، میناب، قشم، جاسک، جزیره هنگام</t>
  </si>
  <si>
    <t>عملکرد</t>
  </si>
  <si>
    <t>اسکان موقت</t>
  </si>
  <si>
    <t>آواربرداری</t>
  </si>
  <si>
    <t>برنامه</t>
  </si>
  <si>
    <t xml:space="preserve">تعمیری یک </t>
  </si>
  <si>
    <t xml:space="preserve">تعمیری دو </t>
  </si>
  <si>
    <t xml:space="preserve">مجموع تعمیرات </t>
  </si>
  <si>
    <t>پروانه ساختمانی و نقشه های اجرایی واحدهای احداثی و مقاوم سازی</t>
  </si>
  <si>
    <t>مجموع تعمیرات انجام شده</t>
  </si>
  <si>
    <t>معرفی به نظام مهندسی</t>
  </si>
  <si>
    <t>معرفی به شهرداری</t>
  </si>
  <si>
    <t>توضیحات</t>
  </si>
  <si>
    <t>توضیحات:</t>
  </si>
  <si>
    <t>تعمیری نوع سه -تعمیرات جزیی درب و پنجره و تعویض شیشه</t>
  </si>
  <si>
    <t>برآورد هزینه بازسازی  واحدهای احداثی (میلیون ريال)</t>
  </si>
  <si>
    <t>جمع برآورد اعتبار مورد نیاز بازسازی  واحدهای احداثی (میلون ريال)</t>
  </si>
  <si>
    <t>جمع برآورد اعتبار مورد نیاز تعمیر واحدهای تعمیری نوع دو (میلیون ريال)</t>
  </si>
  <si>
    <t>جمع برآورد اعتبار مورد نیاز  واحدهای تعمیری نوع سه (میلیون ريال)</t>
  </si>
  <si>
    <t>برآورد هزینه تعمیر  واحدهای تعمیری نوع دو (میلیون ريال)</t>
  </si>
  <si>
    <t>برآورد هزینه تعمیر  کل واحدهای تعمیری نوع سه (میلیون ريال)</t>
  </si>
  <si>
    <t>جمع برآورد اعتبار مورد نیاز  تعمیر واحدهای تعمیری نوع یک  (میلیون ريال)</t>
  </si>
  <si>
    <t>برآورد هزینه تعمیر  واحدهای تعمیری نوع یک (میلیون ريال)</t>
  </si>
  <si>
    <t>تعداد کل ارزیابی</t>
  </si>
  <si>
    <t>محاسبات تنخواه مرحله دوم تعمیرات جزیی</t>
  </si>
  <si>
    <t>تنخواه مرحله دوم تعمیرات جزیی فقط مسکونی</t>
  </si>
  <si>
    <t>تنخواه مرحله دوم تعمیرات جزیی مجموع تجاری و مسکونی</t>
  </si>
  <si>
    <t>تعداد واحد ودیعه مسکن معرفی شده</t>
  </si>
  <si>
    <t>تعداد واحد ودیعه مسکن پرداخت شده</t>
  </si>
  <si>
    <t xml:space="preserve">  تعداد تعمیری  نوع سه  </t>
  </si>
  <si>
    <t>مبلغ کل (میلیون ريال)</t>
  </si>
  <si>
    <t>سهم استان</t>
  </si>
  <si>
    <t>توزیع مرحله دوم</t>
  </si>
  <si>
    <t>نقشه تهیه شده</t>
  </si>
  <si>
    <t>پروانه صادر شده</t>
  </si>
  <si>
    <t>آذربایجان شرقی (کلان شهر تبریز)</t>
  </si>
  <si>
    <t>البرز (کلان شهر کرج)</t>
  </si>
  <si>
    <t>قم  (کلان شهر قم)</t>
  </si>
  <si>
    <t>کرمانشاه (کلان شهر کرمانشاه)</t>
  </si>
  <si>
    <t>جمع عملکرد بنیاد مسکن در کلان شهرها</t>
  </si>
  <si>
    <t>1405/02/14</t>
  </si>
  <si>
    <t>1405/02/12</t>
  </si>
  <si>
    <t>1405/02/09</t>
  </si>
  <si>
    <t>1405/02/07</t>
  </si>
  <si>
    <t>1405/02/06</t>
  </si>
  <si>
    <t>1405/02/04</t>
  </si>
  <si>
    <t>1405/02/03</t>
  </si>
  <si>
    <t>1405/02/02</t>
  </si>
  <si>
    <t>1405/02/01</t>
  </si>
  <si>
    <t>سایر شهرها (کمتر از یک میلیون نفر جمعیت) و روستاها</t>
  </si>
  <si>
    <t>آذربایچان شرقی</t>
  </si>
  <si>
    <t>بروز شد</t>
  </si>
  <si>
    <t>بروز شد (نسبت به آمار قبلی تغییری ایجاد نشد)</t>
  </si>
  <si>
    <t>مبلغ شهرداری اعتباری و با علام بنیاد پرداخت می شود</t>
  </si>
  <si>
    <t xml:space="preserve">بروز شد </t>
  </si>
  <si>
    <t>برز شد</t>
  </si>
  <si>
    <t>چهارمحال و بختیاری</t>
  </si>
  <si>
    <t>جمع کل سایر شهرها و روستاهای کشور</t>
  </si>
  <si>
    <t>جمع کل کلان شهرها و سایر شهرها و روستاهای کشور</t>
  </si>
  <si>
    <t>متوسط هزینه مترمربع 250 میلیون ريال</t>
  </si>
  <si>
    <t>متوسط هزینه مترمربع 180 میلیون ريال</t>
  </si>
  <si>
    <t>متوسط هزینه مترمربع 70 میلیون ريال</t>
  </si>
  <si>
    <t>متوسط هزینه مترمربع 60 میلیون ريال</t>
  </si>
  <si>
    <t>متوسط هزینه مترمربع 40 میلیون ريال</t>
  </si>
  <si>
    <t>متوسط هزینه مترمربع 30 میلیون ريال</t>
  </si>
  <si>
    <t>متوسط هزینه مترمربع 5 میلیون ريال</t>
  </si>
  <si>
    <t>متوسط هزینه مترمربع 20 میلیون ريال</t>
  </si>
  <si>
    <t>پیوست شماره یک</t>
  </si>
  <si>
    <t>پیوست شماره سه</t>
  </si>
  <si>
    <t>واحد احداثی آسیب دیده ندارند</t>
  </si>
  <si>
    <t>احداثی</t>
  </si>
  <si>
    <t>پی کنی</t>
  </si>
  <si>
    <t>فونداسیون</t>
  </si>
  <si>
    <t>دیوارچینی</t>
  </si>
  <si>
    <t>اسکلت</t>
  </si>
  <si>
    <t>سقف</t>
  </si>
  <si>
    <t>سفتکاری</t>
  </si>
  <si>
    <t>فرم های ارزیابی در کلان شهرهای تبریز، اصفهان، اهواز، شیراز، قم و کرج تحویل شهرداریهای مربوطه گردید . در کلان شهر کرمانشاه مدیریت ارزیابی  و بازسازی ساختمانهای آسیب دیده، توسط بنیاد مسکن استان انجام می گیرد.</t>
  </si>
  <si>
    <t>مبلغ کل تسهیلات پرداخت شده (میلیارد تومان)</t>
  </si>
  <si>
    <t>نازک کاری</t>
  </si>
  <si>
    <t>گزارش عملکرد بنیاد مسکن انقلاب اسلامی در تامین ودیعه اسکان موقت،  آواربرداری و بازسازی واحدهای مسکونی، تجاری و اداری بخش خصوصی در کلان شهرها و شهرهای زیر یک میلیون نفر جمعیت و روستاهای کشور آسیب دیده از جنگ رمضان ( اسفند 1404 )</t>
  </si>
  <si>
    <t>تاریخ گزارش : 1405/05/22</t>
  </si>
  <si>
    <t>گزارش ارزیابی تا تاریخ  : 1405/05/22</t>
  </si>
  <si>
    <t xml:space="preserve"> 1-  در استان گیلان: 3 واحد احداثی به دلیل مسائل مالکیتی و وراثتی برای تهیه نقشه به نظام مهندسی معرفی نشده اند.                       2-در استان قزوین 4 واحد احداثی به بهره برداری رسیده است.                              3- کل واحدهای مقاوم سازی در مرحله اجرای طرح مقاوم سازی می باشند.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</si>
</sst>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5" x14ac:knownFonts="1">
    <font>
      <sz val="11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B Traffic"/>
      <charset val="178"/>
    </font>
    <font>
      <sz val="11"/>
      <color theme="1"/>
      <name val="B Traffic"/>
      <charset val="178"/>
    </font>
    <font>
      <b/>
      <sz val="16"/>
      <color theme="1"/>
      <name val="B Traffic"/>
      <charset val="178"/>
    </font>
    <font>
      <b/>
      <sz val="14"/>
      <color theme="1"/>
      <name val="B Traffic"/>
      <charset val="178"/>
    </font>
    <font>
      <sz val="14"/>
      <color theme="1"/>
      <name val="B Traffic"/>
      <charset val="178"/>
    </font>
    <font>
      <b/>
      <sz val="22"/>
      <color theme="1"/>
      <name val="B Traffic"/>
      <charset val="178"/>
    </font>
    <font>
      <b/>
      <sz val="20"/>
      <color theme="1"/>
      <name val="B Traffic"/>
      <charset val="178"/>
    </font>
    <font>
      <b/>
      <sz val="24"/>
      <color theme="1"/>
      <name val="B Traffic"/>
      <charset val="178"/>
    </font>
    <font>
      <sz val="24"/>
      <color theme="1"/>
      <name val="B Traffic"/>
      <charset val="178"/>
    </font>
    <font>
      <b/>
      <sz val="17"/>
      <color theme="1"/>
      <name val="B Traffic"/>
      <charset val="178"/>
    </font>
    <font>
      <b/>
      <sz val="28"/>
      <color theme="1"/>
      <name val="B Traffic"/>
      <charset val="178"/>
    </font>
    <font>
      <sz val="28"/>
      <color theme="1"/>
      <name val="B Traffic"/>
      <charset val="178"/>
    </font>
    <font>
      <b/>
      <sz val="30"/>
      <color theme="1"/>
      <name val="B Traffic"/>
      <charset val="178"/>
    </font>
    <font>
      <b/>
      <sz val="26"/>
      <color theme="1"/>
      <name val="B Traffic"/>
      <charset val="178"/>
    </font>
    <font>
      <sz val="16"/>
      <color theme="1"/>
      <name val="Calibri"/>
      <family val="2"/>
      <scheme val="minor"/>
    </font>
    <font>
      <b/>
      <sz val="48"/>
      <color theme="1"/>
      <name val="B Traffic"/>
      <charset val="178"/>
    </font>
    <font>
      <b/>
      <sz val="36"/>
      <color theme="1"/>
      <name val="B Traffic"/>
      <charset val="178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8"/>
      <color theme="1"/>
      <name val="B Traffic"/>
      <charset val="178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1CC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708">
    <xf numFmtId="0" fontId="0" fillId="0" borderId="0" xfId="0"/>
    <xf numFmtId="0" fontId="5" fillId="0" borderId="0" xfId="1" applyFont="1"/>
    <xf numFmtId="0" fontId="4" fillId="0" borderId="0" xfId="1" applyFont="1" applyAlignment="1">
      <alignment horizontal="center" vertical="center" readingOrder="2"/>
    </xf>
    <xf numFmtId="0" fontId="7" fillId="0" borderId="0" xfId="1" applyFont="1" applyAlignment="1">
      <alignment horizontal="center" vertical="center" readingOrder="2"/>
    </xf>
    <xf numFmtId="0" fontId="8" fillId="0" borderId="0" xfId="1" applyFont="1" applyAlignment="1">
      <alignment readingOrder="2"/>
    </xf>
    <xf numFmtId="0" fontId="6" fillId="10" borderId="0" xfId="1" applyFont="1" applyFill="1" applyAlignment="1">
      <alignment horizontal="center" vertical="center" textRotation="90" readingOrder="2"/>
    </xf>
    <xf numFmtId="3" fontId="7" fillId="0" borderId="0" xfId="1" applyNumberFormat="1" applyFont="1" applyAlignment="1">
      <alignment horizontal="center" vertical="center" readingOrder="2"/>
    </xf>
    <xf numFmtId="3" fontId="11" fillId="0" borderId="37" xfId="1" applyNumberFormat="1" applyFont="1" applyBorder="1" applyAlignment="1">
      <alignment horizontal="center" vertical="center" readingOrder="2"/>
    </xf>
    <xf numFmtId="3" fontId="11" fillId="10" borderId="6" xfId="1" applyNumberFormat="1" applyFont="1" applyFill="1" applyBorder="1" applyAlignment="1">
      <alignment horizontal="center" vertical="center" readingOrder="2"/>
    </xf>
    <xf numFmtId="3" fontId="11" fillId="0" borderId="38" xfId="1" applyNumberFormat="1" applyFont="1" applyBorder="1" applyAlignment="1">
      <alignment horizontal="center" vertical="center" readingOrder="2"/>
    </xf>
    <xf numFmtId="3" fontId="11" fillId="11" borderId="1" xfId="1" applyNumberFormat="1" applyFont="1" applyFill="1" applyBorder="1" applyAlignment="1">
      <alignment horizontal="center" vertical="center" readingOrder="2"/>
    </xf>
    <xf numFmtId="3" fontId="11" fillId="11" borderId="26" xfId="1" applyNumberFormat="1" applyFont="1" applyFill="1" applyBorder="1" applyAlignment="1">
      <alignment horizontal="center" vertical="center" readingOrder="2"/>
    </xf>
    <xf numFmtId="3" fontId="11" fillId="0" borderId="1" xfId="1" applyNumberFormat="1" applyFont="1" applyBorder="1" applyAlignment="1">
      <alignment horizontal="center" vertical="center" readingOrder="2"/>
    </xf>
    <xf numFmtId="0" fontId="12" fillId="0" borderId="0" xfId="1" applyFont="1"/>
    <xf numFmtId="3" fontId="11" fillId="10" borderId="1" xfId="1" applyNumberFormat="1" applyFont="1" applyFill="1" applyBorder="1" applyAlignment="1">
      <alignment horizontal="center" vertical="center" readingOrder="2"/>
    </xf>
    <xf numFmtId="3" fontId="11" fillId="11" borderId="36" xfId="1" applyNumberFormat="1" applyFont="1" applyFill="1" applyBorder="1" applyAlignment="1">
      <alignment horizontal="center" vertical="center" readingOrder="2"/>
    </xf>
    <xf numFmtId="3" fontId="11" fillId="0" borderId="0" xfId="1" applyNumberFormat="1" applyFont="1" applyAlignment="1">
      <alignment horizontal="center" vertical="center" readingOrder="2"/>
    </xf>
    <xf numFmtId="0" fontId="11" fillId="2" borderId="19" xfId="1" applyFont="1" applyFill="1" applyBorder="1" applyAlignment="1">
      <alignment horizontal="center" vertical="center" readingOrder="2"/>
    </xf>
    <xf numFmtId="0" fontId="11" fillId="4" borderId="19" xfId="1" applyFont="1" applyFill="1" applyBorder="1" applyAlignment="1">
      <alignment horizontal="center" vertical="center" readingOrder="2"/>
    </xf>
    <xf numFmtId="0" fontId="11" fillId="8" borderId="19" xfId="1" applyFont="1" applyFill="1" applyBorder="1" applyAlignment="1">
      <alignment horizontal="center" vertical="center" readingOrder="2"/>
    </xf>
    <xf numFmtId="3" fontId="11" fillId="0" borderId="31" xfId="1" applyNumberFormat="1" applyFont="1" applyBorder="1" applyAlignment="1">
      <alignment horizontal="center" vertical="center" readingOrder="2"/>
    </xf>
    <xf numFmtId="0" fontId="5" fillId="0" borderId="60" xfId="1" applyFont="1" applyBorder="1"/>
    <xf numFmtId="0" fontId="5" fillId="0" borderId="40" xfId="1" applyFont="1" applyBorder="1"/>
    <xf numFmtId="0" fontId="5" fillId="0" borderId="61" xfId="1" applyFont="1" applyBorder="1"/>
    <xf numFmtId="0" fontId="15" fillId="0" borderId="0" xfId="1" applyFont="1"/>
    <xf numFmtId="3" fontId="14" fillId="0" borderId="15" xfId="1" applyNumberFormat="1" applyFont="1" applyBorder="1" applyAlignment="1">
      <alignment horizontal="center" vertical="center" wrapText="1" readingOrder="2"/>
    </xf>
    <xf numFmtId="3" fontId="14" fillId="10" borderId="15" xfId="1" applyNumberFormat="1" applyFont="1" applyFill="1" applyBorder="1" applyAlignment="1">
      <alignment horizontal="center" vertical="center" readingOrder="2"/>
    </xf>
    <xf numFmtId="3" fontId="14" fillId="0" borderId="37" xfId="1" applyNumberFormat="1" applyFont="1" applyBorder="1" applyAlignment="1">
      <alignment horizontal="center" vertical="center" readingOrder="2"/>
    </xf>
    <xf numFmtId="3" fontId="14" fillId="0" borderId="5" xfId="1" applyNumberFormat="1" applyFont="1" applyBorder="1" applyAlignment="1">
      <alignment horizontal="center" vertical="center" readingOrder="2"/>
    </xf>
    <xf numFmtId="3" fontId="14" fillId="0" borderId="6" xfId="1" applyNumberFormat="1" applyFont="1" applyBorder="1" applyAlignment="1">
      <alignment horizontal="center" vertical="center" readingOrder="2"/>
    </xf>
    <xf numFmtId="3" fontId="14" fillId="0" borderId="10" xfId="1" applyNumberFormat="1" applyFont="1" applyBorder="1" applyAlignment="1">
      <alignment horizontal="center" vertical="center" readingOrder="2"/>
    </xf>
    <xf numFmtId="3" fontId="14" fillId="10" borderId="6" xfId="1" applyNumberFormat="1" applyFont="1" applyFill="1" applyBorder="1" applyAlignment="1">
      <alignment horizontal="center" vertical="center" readingOrder="2"/>
    </xf>
    <xf numFmtId="3" fontId="14" fillId="10" borderId="10" xfId="1" applyNumberFormat="1" applyFont="1" applyFill="1" applyBorder="1" applyAlignment="1">
      <alignment horizontal="center" vertical="center" readingOrder="2"/>
    </xf>
    <xf numFmtId="3" fontId="14" fillId="11" borderId="1" xfId="1" applyNumberFormat="1" applyFont="1" applyFill="1" applyBorder="1" applyAlignment="1">
      <alignment horizontal="center" vertical="center" readingOrder="2"/>
    </xf>
    <xf numFmtId="3" fontId="14" fillId="11" borderId="25" xfId="1" applyNumberFormat="1" applyFont="1" applyFill="1" applyBorder="1" applyAlignment="1">
      <alignment horizontal="center" vertical="center" readingOrder="2"/>
    </xf>
    <xf numFmtId="3" fontId="14" fillId="11" borderId="7" xfId="1" applyNumberFormat="1" applyFont="1" applyFill="1" applyBorder="1" applyAlignment="1">
      <alignment horizontal="center" vertical="center" readingOrder="2"/>
    </xf>
    <xf numFmtId="3" fontId="14" fillId="11" borderId="16" xfId="1" applyNumberFormat="1" applyFont="1" applyFill="1" applyBorder="1" applyAlignment="1">
      <alignment horizontal="center" vertical="center" readingOrder="2"/>
    </xf>
    <xf numFmtId="3" fontId="14" fillId="11" borderId="17" xfId="1" applyNumberFormat="1" applyFont="1" applyFill="1" applyBorder="1" applyAlignment="1">
      <alignment horizontal="center" vertical="center" readingOrder="2"/>
    </xf>
    <xf numFmtId="3" fontId="14" fillId="0" borderId="1" xfId="1" applyNumberFormat="1" applyFont="1" applyBorder="1" applyAlignment="1">
      <alignment horizontal="center" vertical="center" readingOrder="2"/>
    </xf>
    <xf numFmtId="3" fontId="14" fillId="0" borderId="7" xfId="1" applyNumberFormat="1" applyFont="1" applyBorder="1" applyAlignment="1">
      <alignment horizontal="center" vertical="center" readingOrder="2"/>
    </xf>
    <xf numFmtId="3" fontId="14" fillId="0" borderId="16" xfId="1" applyNumberFormat="1" applyFont="1" applyBorder="1" applyAlignment="1">
      <alignment horizontal="center" vertical="center" readingOrder="2"/>
    </xf>
    <xf numFmtId="3" fontId="14" fillId="0" borderId="17" xfId="1" applyNumberFormat="1" applyFont="1" applyBorder="1" applyAlignment="1">
      <alignment horizontal="center" vertical="center" readingOrder="2"/>
    </xf>
    <xf numFmtId="3" fontId="14" fillId="10" borderId="16" xfId="1" applyNumberFormat="1" applyFont="1" applyFill="1" applyBorder="1" applyAlignment="1">
      <alignment horizontal="center" vertical="center" readingOrder="2"/>
    </xf>
    <xf numFmtId="3" fontId="14" fillId="10" borderId="17" xfId="1" applyNumberFormat="1" applyFont="1" applyFill="1" applyBorder="1" applyAlignment="1">
      <alignment horizontal="center" vertical="center" readingOrder="2"/>
    </xf>
    <xf numFmtId="3" fontId="14" fillId="0" borderId="31" xfId="1" applyNumberFormat="1" applyFont="1" applyBorder="1" applyAlignment="1">
      <alignment horizontal="center" vertical="center" readingOrder="2"/>
    </xf>
    <xf numFmtId="3" fontId="14" fillId="0" borderId="54" xfId="1" applyNumberFormat="1" applyFont="1" applyBorder="1" applyAlignment="1">
      <alignment horizontal="center" vertical="center" readingOrder="2"/>
    </xf>
    <xf numFmtId="3" fontId="14" fillId="4" borderId="13" xfId="1" applyNumberFormat="1" applyFont="1" applyFill="1" applyBorder="1" applyAlignment="1">
      <alignment horizontal="center" vertical="center" readingOrder="2"/>
    </xf>
    <xf numFmtId="3" fontId="14" fillId="4" borderId="14" xfId="1" applyNumberFormat="1" applyFont="1" applyFill="1" applyBorder="1" applyAlignment="1">
      <alignment horizontal="center" vertical="center" readingOrder="2"/>
    </xf>
    <xf numFmtId="3" fontId="14" fillId="6" borderId="55" xfId="1" applyNumberFormat="1" applyFont="1" applyFill="1" applyBorder="1" applyAlignment="1">
      <alignment horizontal="center" vertical="center" readingOrder="2"/>
    </xf>
    <xf numFmtId="3" fontId="14" fillId="10" borderId="1" xfId="1" applyNumberFormat="1" applyFont="1" applyFill="1" applyBorder="1" applyAlignment="1">
      <alignment horizontal="center" vertical="center" readingOrder="2"/>
    </xf>
    <xf numFmtId="3" fontId="14" fillId="10" borderId="7" xfId="1" applyNumberFormat="1" applyFont="1" applyFill="1" applyBorder="1" applyAlignment="1">
      <alignment horizontal="center" vertical="center" readingOrder="2"/>
    </xf>
    <xf numFmtId="3" fontId="14" fillId="0" borderId="8" xfId="1" applyNumberFormat="1" applyFont="1" applyBorder="1" applyAlignment="1">
      <alignment horizontal="center" vertical="center" readingOrder="2"/>
    </xf>
    <xf numFmtId="3" fontId="14" fillId="10" borderId="8" xfId="1" applyNumberFormat="1" applyFont="1" applyFill="1" applyBorder="1" applyAlignment="1">
      <alignment horizontal="center" vertical="center" readingOrder="2"/>
    </xf>
    <xf numFmtId="3" fontId="14" fillId="0" borderId="50" xfId="1" applyNumberFormat="1" applyFont="1" applyBorder="1" applyAlignment="1">
      <alignment horizontal="center" vertical="center" readingOrder="2"/>
    </xf>
    <xf numFmtId="3" fontId="14" fillId="0" borderId="0" xfId="1" applyNumberFormat="1" applyFont="1" applyAlignment="1">
      <alignment horizontal="center" vertical="center" wrapText="1" readingOrder="2"/>
    </xf>
    <xf numFmtId="3" fontId="14" fillId="11" borderId="8" xfId="1" applyNumberFormat="1" applyFont="1" applyFill="1" applyBorder="1" applyAlignment="1">
      <alignment horizontal="center" vertical="center" readingOrder="2"/>
    </xf>
    <xf numFmtId="3" fontId="11" fillId="4" borderId="42" xfId="1" applyNumberFormat="1" applyFont="1" applyFill="1" applyBorder="1" applyAlignment="1">
      <alignment horizontal="center" vertical="center" readingOrder="2"/>
    </xf>
    <xf numFmtId="3" fontId="14" fillId="4" borderId="42" xfId="1" applyNumberFormat="1" applyFont="1" applyFill="1" applyBorder="1" applyAlignment="1">
      <alignment horizontal="center" vertical="center" readingOrder="2"/>
    </xf>
    <xf numFmtId="3" fontId="14" fillId="6" borderId="15" xfId="1" applyNumberFormat="1" applyFont="1" applyFill="1" applyBorder="1" applyAlignment="1">
      <alignment horizontal="center" vertical="center" readingOrder="2"/>
    </xf>
    <xf numFmtId="0" fontId="11" fillId="4" borderId="18" xfId="1" applyFont="1" applyFill="1" applyBorder="1" applyAlignment="1">
      <alignment horizontal="center" vertical="center" readingOrder="2"/>
    </xf>
    <xf numFmtId="3" fontId="14" fillId="11" borderId="61" xfId="1" applyNumberFormat="1" applyFont="1" applyFill="1" applyBorder="1" applyAlignment="1">
      <alignment horizontal="center" vertical="center" readingOrder="2"/>
    </xf>
    <xf numFmtId="0" fontId="11" fillId="8" borderId="18" xfId="1" applyFont="1" applyFill="1" applyBorder="1" applyAlignment="1">
      <alignment horizontal="center" vertical="center" readingOrder="2"/>
    </xf>
    <xf numFmtId="3" fontId="14" fillId="10" borderId="67" xfId="1" applyNumberFormat="1" applyFont="1" applyFill="1" applyBorder="1" applyAlignment="1">
      <alignment horizontal="center" vertical="center" readingOrder="2"/>
    </xf>
    <xf numFmtId="3" fontId="14" fillId="6" borderId="24" xfId="1" applyNumberFormat="1" applyFont="1" applyFill="1" applyBorder="1" applyAlignment="1">
      <alignment horizontal="center" vertical="center" readingOrder="2"/>
    </xf>
    <xf numFmtId="3" fontId="14" fillId="4" borderId="24" xfId="1" applyNumberFormat="1" applyFont="1" applyFill="1" applyBorder="1" applyAlignment="1">
      <alignment horizontal="center" vertical="center" readingOrder="2"/>
    </xf>
    <xf numFmtId="3" fontId="14" fillId="11" borderId="26" xfId="1" applyNumberFormat="1" applyFont="1" applyFill="1" applyBorder="1" applyAlignment="1">
      <alignment horizontal="center" vertical="center" readingOrder="2"/>
    </xf>
    <xf numFmtId="3" fontId="14" fillId="0" borderId="26" xfId="1" applyNumberFormat="1" applyFont="1" applyBorder="1" applyAlignment="1">
      <alignment horizontal="center" vertical="center" readingOrder="2"/>
    </xf>
    <xf numFmtId="3" fontId="14" fillId="0" borderId="49" xfId="1" applyNumberFormat="1" applyFont="1" applyBorder="1" applyAlignment="1">
      <alignment horizontal="center" vertical="center" readingOrder="2"/>
    </xf>
    <xf numFmtId="3" fontId="14" fillId="10" borderId="26" xfId="1" applyNumberFormat="1" applyFont="1" applyFill="1" applyBorder="1" applyAlignment="1">
      <alignment horizontal="center" vertical="center" readingOrder="2"/>
    </xf>
    <xf numFmtId="3" fontId="11" fillId="5" borderId="8" xfId="1" applyNumberFormat="1" applyFont="1" applyFill="1" applyBorder="1" applyAlignment="1">
      <alignment horizontal="center" vertical="center" readingOrder="2"/>
    </xf>
    <xf numFmtId="3" fontId="11" fillId="10" borderId="8" xfId="1" applyNumberFormat="1" applyFont="1" applyFill="1" applyBorder="1" applyAlignment="1">
      <alignment horizontal="center" vertical="center" readingOrder="2"/>
    </xf>
    <xf numFmtId="3" fontId="14" fillId="11" borderId="12" xfId="1" applyNumberFormat="1" applyFont="1" applyFill="1" applyBorder="1" applyAlignment="1">
      <alignment horizontal="center" vertical="center" readingOrder="2"/>
    </xf>
    <xf numFmtId="3" fontId="14" fillId="11" borderId="32" xfId="1" applyNumberFormat="1" applyFont="1" applyFill="1" applyBorder="1" applyAlignment="1">
      <alignment horizontal="center" vertical="center" readingOrder="2"/>
    </xf>
    <xf numFmtId="3" fontId="14" fillId="0" borderId="35" xfId="1" applyNumberFormat="1" applyFont="1" applyBorder="1" applyAlignment="1">
      <alignment horizontal="center" vertical="center" readingOrder="2"/>
    </xf>
    <xf numFmtId="0" fontId="17" fillId="0" borderId="1" xfId="1" applyFont="1" applyBorder="1" applyAlignment="1">
      <alignment horizontal="center" vertical="center" readingOrder="2"/>
    </xf>
    <xf numFmtId="0" fontId="17" fillId="11" borderId="1" xfId="1" applyFont="1" applyFill="1" applyBorder="1" applyAlignment="1">
      <alignment horizontal="center" vertical="center" readingOrder="2"/>
    </xf>
    <xf numFmtId="0" fontId="17" fillId="0" borderId="37" xfId="1" applyFont="1" applyBorder="1" applyAlignment="1">
      <alignment horizontal="center" vertical="center" readingOrder="2"/>
    </xf>
    <xf numFmtId="0" fontId="17" fillId="0" borderId="12" xfId="1" applyFont="1" applyBorder="1" applyAlignment="1">
      <alignment horizontal="center" vertical="center" readingOrder="2"/>
    </xf>
    <xf numFmtId="0" fontId="17" fillId="2" borderId="13" xfId="1" applyFont="1" applyFill="1" applyBorder="1" applyAlignment="1">
      <alignment horizontal="center" vertical="center" readingOrder="2"/>
    </xf>
    <xf numFmtId="0" fontId="17" fillId="2" borderId="14" xfId="1" applyFont="1" applyFill="1" applyBorder="1" applyAlignment="1">
      <alignment horizontal="center" vertical="center" readingOrder="2"/>
    </xf>
    <xf numFmtId="0" fontId="17" fillId="2" borderId="24" xfId="1" applyFont="1" applyFill="1" applyBorder="1" applyAlignment="1">
      <alignment horizontal="center" vertical="center" readingOrder="2"/>
    </xf>
    <xf numFmtId="0" fontId="13" fillId="10" borderId="44" xfId="1" applyFont="1" applyFill="1" applyBorder="1" applyAlignment="1">
      <alignment horizontal="center" vertical="center" wrapText="1" readingOrder="2"/>
    </xf>
    <xf numFmtId="0" fontId="13" fillId="11" borderId="25" xfId="1" applyFont="1" applyFill="1" applyBorder="1" applyAlignment="1">
      <alignment horizontal="center" vertical="center" wrapText="1" readingOrder="2"/>
    </xf>
    <xf numFmtId="0" fontId="13" fillId="10" borderId="25" xfId="1" applyFont="1" applyFill="1" applyBorder="1" applyAlignment="1">
      <alignment horizontal="center" vertical="center" wrapText="1" readingOrder="2"/>
    </xf>
    <xf numFmtId="0" fontId="13" fillId="10" borderId="25" xfId="1" applyFont="1" applyFill="1" applyBorder="1" applyAlignment="1">
      <alignment horizontal="center" vertical="center" readingOrder="2"/>
    </xf>
    <xf numFmtId="0" fontId="13" fillId="11" borderId="25" xfId="1" applyFont="1" applyFill="1" applyBorder="1" applyAlignment="1">
      <alignment horizontal="center" vertical="center" readingOrder="2"/>
    </xf>
    <xf numFmtId="0" fontId="17" fillId="0" borderId="5" xfId="1" applyFont="1" applyBorder="1" applyAlignment="1">
      <alignment horizontal="center" vertical="center" readingOrder="2"/>
    </xf>
    <xf numFmtId="0" fontId="17" fillId="0" borderId="6" xfId="1" applyFont="1" applyBorder="1" applyAlignment="1">
      <alignment horizontal="center" vertical="center" readingOrder="2"/>
    </xf>
    <xf numFmtId="0" fontId="17" fillId="11" borderId="7" xfId="1" applyFont="1" applyFill="1" applyBorder="1" applyAlignment="1">
      <alignment horizontal="center" vertical="center" readingOrder="2"/>
    </xf>
    <xf numFmtId="0" fontId="17" fillId="0" borderId="7" xfId="1" applyFont="1" applyBorder="1" applyAlignment="1">
      <alignment horizontal="center" vertical="center" readingOrder="2"/>
    </xf>
    <xf numFmtId="3" fontId="11" fillId="0" borderId="45" xfId="1" applyNumberFormat="1" applyFont="1" applyBorder="1" applyAlignment="1">
      <alignment horizontal="center" vertical="center" readingOrder="2"/>
    </xf>
    <xf numFmtId="3" fontId="11" fillId="11" borderId="25" xfId="1" applyNumberFormat="1" applyFont="1" applyFill="1" applyBorder="1" applyAlignment="1">
      <alignment horizontal="center" vertical="center" readingOrder="2"/>
    </xf>
    <xf numFmtId="3" fontId="11" fillId="0" borderId="50" xfId="1" applyNumberFormat="1" applyFont="1" applyBorder="1" applyAlignment="1">
      <alignment horizontal="center" vertical="center" readingOrder="2"/>
    </xf>
    <xf numFmtId="3" fontId="11" fillId="0" borderId="70" xfId="1" applyNumberFormat="1" applyFont="1" applyBorder="1" applyAlignment="1">
      <alignment horizontal="center" vertical="center" wrapText="1" readingOrder="2"/>
    </xf>
    <xf numFmtId="3" fontId="11" fillId="11" borderId="7" xfId="1" applyNumberFormat="1" applyFont="1" applyFill="1" applyBorder="1" applyAlignment="1">
      <alignment horizontal="center" vertical="center" readingOrder="2"/>
    </xf>
    <xf numFmtId="3" fontId="11" fillId="11" borderId="8" xfId="1" applyNumberFormat="1" applyFont="1" applyFill="1" applyBorder="1" applyAlignment="1">
      <alignment horizontal="center" vertical="center" wrapText="1" readingOrder="2"/>
    </xf>
    <xf numFmtId="3" fontId="11" fillId="0" borderId="7" xfId="1" applyNumberFormat="1" applyFont="1" applyBorder="1" applyAlignment="1">
      <alignment horizontal="center" vertical="center" readingOrder="2"/>
    </xf>
    <xf numFmtId="3" fontId="11" fillId="0" borderId="8" xfId="1" applyNumberFormat="1" applyFont="1" applyBorder="1" applyAlignment="1">
      <alignment horizontal="center" vertical="center" wrapText="1" readingOrder="2"/>
    </xf>
    <xf numFmtId="3" fontId="11" fillId="0" borderId="54" xfId="1" applyNumberFormat="1" applyFont="1" applyBorder="1" applyAlignment="1">
      <alignment horizontal="center" vertical="center" readingOrder="2"/>
    </xf>
    <xf numFmtId="3" fontId="11" fillId="0" borderId="52" xfId="1" applyNumberFormat="1" applyFont="1" applyBorder="1" applyAlignment="1">
      <alignment horizontal="center" vertical="center" wrapText="1" readingOrder="2"/>
    </xf>
    <xf numFmtId="0" fontId="11" fillId="4" borderId="20" xfId="1" applyFont="1" applyFill="1" applyBorder="1" applyAlignment="1">
      <alignment horizontal="center" vertical="center" readingOrder="2"/>
    </xf>
    <xf numFmtId="3" fontId="14" fillId="0" borderId="51" xfId="1" applyNumberFormat="1" applyFont="1" applyBorder="1" applyAlignment="1">
      <alignment horizontal="center" vertical="center" readingOrder="2"/>
    </xf>
    <xf numFmtId="3" fontId="11" fillId="10" borderId="5" xfId="1" applyNumberFormat="1" applyFont="1" applyFill="1" applyBorder="1" applyAlignment="1">
      <alignment horizontal="center" vertical="center" readingOrder="2"/>
    </xf>
    <xf numFmtId="3" fontId="11" fillId="10" borderId="10" xfId="1" applyNumberFormat="1" applyFont="1" applyFill="1" applyBorder="1" applyAlignment="1">
      <alignment horizontal="center" vertical="center" wrapText="1" readingOrder="2"/>
    </xf>
    <xf numFmtId="3" fontId="11" fillId="5" borderId="8" xfId="1" applyNumberFormat="1" applyFont="1" applyFill="1" applyBorder="1" applyAlignment="1">
      <alignment horizontal="center" vertical="center" wrapText="1" readingOrder="2"/>
    </xf>
    <xf numFmtId="3" fontId="11" fillId="10" borderId="7" xfId="1" applyNumberFormat="1" applyFont="1" applyFill="1" applyBorder="1" applyAlignment="1">
      <alignment horizontal="center" vertical="center" readingOrder="2"/>
    </xf>
    <xf numFmtId="3" fontId="11" fillId="10" borderId="8" xfId="1" applyNumberFormat="1" applyFont="1" applyFill="1" applyBorder="1" applyAlignment="1">
      <alignment horizontal="center" vertical="center" wrapText="1" readingOrder="2"/>
    </xf>
    <xf numFmtId="3" fontId="11" fillId="11" borderId="28" xfId="1" applyNumberFormat="1" applyFont="1" applyFill="1" applyBorder="1" applyAlignment="1">
      <alignment horizontal="center" vertical="center" readingOrder="2"/>
    </xf>
    <xf numFmtId="0" fontId="5" fillId="0" borderId="15" xfId="1" applyFont="1" applyBorder="1"/>
    <xf numFmtId="0" fontId="11" fillId="13" borderId="19" xfId="1" applyFont="1" applyFill="1" applyBorder="1" applyAlignment="1">
      <alignment horizontal="center" vertical="center" readingOrder="2"/>
    </xf>
    <xf numFmtId="0" fontId="11" fillId="12" borderId="19" xfId="1" applyFont="1" applyFill="1" applyBorder="1" applyAlignment="1">
      <alignment horizontal="center" vertical="center" readingOrder="2"/>
    </xf>
    <xf numFmtId="0" fontId="11" fillId="13" borderId="18" xfId="1" applyFont="1" applyFill="1" applyBorder="1" applyAlignment="1">
      <alignment horizontal="center" vertical="center" readingOrder="2"/>
    </xf>
    <xf numFmtId="0" fontId="11" fillId="13" borderId="19" xfId="1" applyFont="1" applyFill="1" applyBorder="1" applyAlignment="1">
      <alignment vertical="center" readingOrder="2"/>
    </xf>
    <xf numFmtId="0" fontId="11" fillId="12" borderId="18" xfId="1" applyFont="1" applyFill="1" applyBorder="1" applyAlignment="1">
      <alignment horizontal="center" vertical="center" readingOrder="2"/>
    </xf>
    <xf numFmtId="0" fontId="11" fillId="12" borderId="19" xfId="1" applyFont="1" applyFill="1" applyBorder="1" applyAlignment="1">
      <alignment vertical="center" readingOrder="2"/>
    </xf>
    <xf numFmtId="0" fontId="17" fillId="11" borderId="12" xfId="1" applyFont="1" applyFill="1" applyBorder="1" applyAlignment="1">
      <alignment horizontal="center" vertical="center" readingOrder="2"/>
    </xf>
    <xf numFmtId="3" fontId="14" fillId="11" borderId="47" xfId="1" applyNumberFormat="1" applyFont="1" applyFill="1" applyBorder="1" applyAlignment="1">
      <alignment horizontal="center" vertical="center" readingOrder="2"/>
    </xf>
    <xf numFmtId="3" fontId="14" fillId="11" borderId="11" xfId="1" applyNumberFormat="1" applyFont="1" applyFill="1" applyBorder="1" applyAlignment="1">
      <alignment horizontal="center" vertical="center" readingOrder="2"/>
    </xf>
    <xf numFmtId="3" fontId="14" fillId="10" borderId="49" xfId="1" applyNumberFormat="1" applyFont="1" applyFill="1" applyBorder="1" applyAlignment="1">
      <alignment horizontal="center" vertical="center" readingOrder="2"/>
    </xf>
    <xf numFmtId="3" fontId="14" fillId="11" borderId="34" xfId="1" applyNumberFormat="1" applyFont="1" applyFill="1" applyBorder="1" applyAlignment="1">
      <alignment horizontal="center" vertical="center" readingOrder="2"/>
    </xf>
    <xf numFmtId="0" fontId="13" fillId="11" borderId="33" xfId="1" applyFont="1" applyFill="1" applyBorder="1" applyAlignment="1">
      <alignment horizontal="center" vertical="center" readingOrder="2"/>
    </xf>
    <xf numFmtId="0" fontId="17" fillId="11" borderId="11" xfId="1" applyFont="1" applyFill="1" applyBorder="1" applyAlignment="1">
      <alignment horizontal="center" vertical="center" readingOrder="2"/>
    </xf>
    <xf numFmtId="3" fontId="14" fillId="2" borderId="13" xfId="1" applyNumberFormat="1" applyFont="1" applyFill="1" applyBorder="1" applyAlignment="1">
      <alignment horizontal="center" vertical="center" readingOrder="2"/>
    </xf>
    <xf numFmtId="3" fontId="14" fillId="2" borderId="14" xfId="1" applyNumberFormat="1" applyFont="1" applyFill="1" applyBorder="1" applyAlignment="1">
      <alignment horizontal="center" vertical="center" readingOrder="2"/>
    </xf>
    <xf numFmtId="3" fontId="14" fillId="2" borderId="24" xfId="1" applyNumberFormat="1" applyFont="1" applyFill="1" applyBorder="1" applyAlignment="1">
      <alignment horizontal="center" vertical="center" readingOrder="2"/>
    </xf>
    <xf numFmtId="0" fontId="11" fillId="2" borderId="18" xfId="1" applyFont="1" applyFill="1" applyBorder="1" applyAlignment="1">
      <alignment horizontal="center" vertical="center" readingOrder="2"/>
    </xf>
    <xf numFmtId="0" fontId="11" fillId="2" borderId="20" xfId="1" applyFont="1" applyFill="1" applyBorder="1" applyAlignment="1">
      <alignment horizontal="center" vertical="center" readingOrder="2"/>
    </xf>
    <xf numFmtId="0" fontId="17" fillId="0" borderId="50" xfId="1" applyFont="1" applyBorder="1" applyAlignment="1">
      <alignment horizontal="center" vertical="center" readingOrder="2"/>
    </xf>
    <xf numFmtId="0" fontId="17" fillId="0" borderId="51" xfId="1" applyFont="1" applyBorder="1" applyAlignment="1">
      <alignment horizontal="center" vertical="center" readingOrder="2"/>
    </xf>
    <xf numFmtId="0" fontId="17" fillId="11" borderId="8" xfId="1" applyFont="1" applyFill="1" applyBorder="1" applyAlignment="1">
      <alignment horizontal="center" vertical="center" readingOrder="2"/>
    </xf>
    <xf numFmtId="0" fontId="17" fillId="0" borderId="11" xfId="1" applyFont="1" applyBorder="1" applyAlignment="1">
      <alignment horizontal="center" vertical="center" readingOrder="2"/>
    </xf>
    <xf numFmtId="3" fontId="14" fillId="10" borderId="25" xfId="1" applyNumberFormat="1" applyFont="1" applyFill="1" applyBorder="1" applyAlignment="1">
      <alignment horizontal="center" vertical="center" readingOrder="2"/>
    </xf>
    <xf numFmtId="3" fontId="14" fillId="11" borderId="28" xfId="1" applyNumberFormat="1" applyFont="1" applyFill="1" applyBorder="1" applyAlignment="1">
      <alignment horizontal="center" vertical="center" readingOrder="2"/>
    </xf>
    <xf numFmtId="3" fontId="14" fillId="11" borderId="36" xfId="1" applyNumberFormat="1" applyFont="1" applyFill="1" applyBorder="1" applyAlignment="1">
      <alignment horizontal="center" vertical="center" readingOrder="2"/>
    </xf>
    <xf numFmtId="3" fontId="14" fillId="11" borderId="9" xfId="1" applyNumberFormat="1" applyFont="1" applyFill="1" applyBorder="1" applyAlignment="1">
      <alignment horizontal="center" vertical="center" readingOrder="2"/>
    </xf>
    <xf numFmtId="3" fontId="14" fillId="10" borderId="44" xfId="1" applyNumberFormat="1" applyFont="1" applyFill="1" applyBorder="1" applyAlignment="1">
      <alignment horizontal="center" vertical="center" readingOrder="2"/>
    </xf>
    <xf numFmtId="0" fontId="5" fillId="0" borderId="75" xfId="1" applyFont="1" applyBorder="1"/>
    <xf numFmtId="3" fontId="11" fillId="4" borderId="3" xfId="1" applyNumberFormat="1" applyFont="1" applyFill="1" applyBorder="1" applyAlignment="1">
      <alignment horizontal="center" vertical="center" readingOrder="2"/>
    </xf>
    <xf numFmtId="3" fontId="11" fillId="10" borderId="6" xfId="2" applyNumberFormat="1" applyFont="1" applyFill="1" applyBorder="1" applyAlignment="1">
      <alignment horizontal="center" vertical="center" readingOrder="2"/>
    </xf>
    <xf numFmtId="3" fontId="11" fillId="5" borderId="1" xfId="2" applyNumberFormat="1" applyFont="1" applyFill="1" applyBorder="1" applyAlignment="1">
      <alignment horizontal="center" vertical="center" readingOrder="2"/>
    </xf>
    <xf numFmtId="3" fontId="11" fillId="10" borderId="1" xfId="2" applyNumberFormat="1" applyFont="1" applyFill="1" applyBorder="1" applyAlignment="1">
      <alignment horizontal="center" vertical="center" readingOrder="2"/>
    </xf>
    <xf numFmtId="3" fontId="11" fillId="11" borderId="36" xfId="2" applyNumberFormat="1" applyFont="1" applyFill="1" applyBorder="1" applyAlignment="1">
      <alignment horizontal="center" vertical="center" readingOrder="2"/>
    </xf>
    <xf numFmtId="0" fontId="5" fillId="6" borderId="75" xfId="1" applyFont="1" applyFill="1" applyBorder="1"/>
    <xf numFmtId="3" fontId="11" fillId="5" borderId="9" xfId="1" applyNumberFormat="1" applyFont="1" applyFill="1" applyBorder="1" applyAlignment="1">
      <alignment horizontal="center" vertical="center" wrapText="1" readingOrder="2"/>
    </xf>
    <xf numFmtId="3" fontId="11" fillId="6" borderId="53" xfId="1" applyNumberFormat="1" applyFont="1" applyFill="1" applyBorder="1" applyAlignment="1">
      <alignment horizontal="center" vertical="center" readingOrder="2"/>
    </xf>
    <xf numFmtId="3" fontId="14" fillId="11" borderId="57" xfId="1" applyNumberFormat="1" applyFont="1" applyFill="1" applyBorder="1" applyAlignment="1">
      <alignment horizontal="center" vertical="center" readingOrder="2"/>
    </xf>
    <xf numFmtId="3" fontId="14" fillId="4" borderId="54" xfId="1" applyNumberFormat="1" applyFont="1" applyFill="1" applyBorder="1" applyAlignment="1">
      <alignment horizontal="center" vertical="center" readingOrder="2"/>
    </xf>
    <xf numFmtId="3" fontId="14" fillId="4" borderId="31" xfId="1" applyNumberFormat="1" applyFont="1" applyFill="1" applyBorder="1" applyAlignment="1">
      <alignment horizontal="center" vertical="center" readingOrder="2"/>
    </xf>
    <xf numFmtId="3" fontId="11" fillId="8" borderId="13" xfId="1" applyNumberFormat="1" applyFont="1" applyFill="1" applyBorder="1" applyAlignment="1">
      <alignment horizontal="center" vertical="center" readingOrder="2"/>
    </xf>
    <xf numFmtId="3" fontId="11" fillId="8" borderId="42" xfId="1" applyNumberFormat="1" applyFont="1" applyFill="1" applyBorder="1" applyAlignment="1">
      <alignment horizontal="center" vertical="center" readingOrder="2"/>
    </xf>
    <xf numFmtId="3" fontId="14" fillId="10" borderId="59" xfId="1" applyNumberFormat="1" applyFont="1" applyFill="1" applyBorder="1" applyAlignment="1">
      <alignment horizontal="center" vertical="center" readingOrder="2"/>
    </xf>
    <xf numFmtId="3" fontId="14" fillId="11" borderId="83" xfId="1" applyNumberFormat="1" applyFont="1" applyFill="1" applyBorder="1" applyAlignment="1">
      <alignment horizontal="center" vertical="center" readingOrder="2"/>
    </xf>
    <xf numFmtId="3" fontId="14" fillId="10" borderId="83" xfId="1" applyNumberFormat="1" applyFont="1" applyFill="1" applyBorder="1" applyAlignment="1">
      <alignment horizontal="center" vertical="center" readingOrder="2"/>
    </xf>
    <xf numFmtId="3" fontId="11" fillId="10" borderId="49" xfId="2" applyNumberFormat="1" applyFont="1" applyFill="1" applyBorder="1" applyAlignment="1">
      <alignment horizontal="center" vertical="center" readingOrder="2"/>
    </xf>
    <xf numFmtId="3" fontId="11" fillId="5" borderId="26" xfId="2" applyNumberFormat="1" applyFont="1" applyFill="1" applyBorder="1" applyAlignment="1">
      <alignment horizontal="center" vertical="center" readingOrder="2"/>
    </xf>
    <xf numFmtId="3" fontId="11" fillId="10" borderId="26" xfId="2" applyNumberFormat="1" applyFont="1" applyFill="1" applyBorder="1" applyAlignment="1">
      <alignment horizontal="center" vertical="center" readingOrder="2"/>
    </xf>
    <xf numFmtId="3" fontId="11" fillId="11" borderId="57" xfId="2" applyNumberFormat="1" applyFont="1" applyFill="1" applyBorder="1" applyAlignment="1">
      <alignment horizontal="center" vertical="center" readingOrder="2"/>
    </xf>
    <xf numFmtId="3" fontId="11" fillId="10" borderId="10" xfId="1" applyNumberFormat="1" applyFont="1" applyFill="1" applyBorder="1" applyAlignment="1">
      <alignment horizontal="center" vertical="center" readingOrder="2"/>
    </xf>
    <xf numFmtId="3" fontId="11" fillId="5" borderId="9" xfId="1" applyNumberFormat="1" applyFont="1" applyFill="1" applyBorder="1" applyAlignment="1">
      <alignment horizontal="center" vertical="center" readingOrder="2"/>
    </xf>
    <xf numFmtId="3" fontId="11" fillId="8" borderId="14" xfId="1" applyNumberFormat="1" applyFont="1" applyFill="1" applyBorder="1" applyAlignment="1">
      <alignment horizontal="center" vertical="center" readingOrder="2"/>
    </xf>
    <xf numFmtId="0" fontId="11" fillId="7" borderId="18" xfId="1" applyFont="1" applyFill="1" applyBorder="1" applyAlignment="1">
      <alignment horizontal="center" vertical="center" readingOrder="2"/>
    </xf>
    <xf numFmtId="0" fontId="11" fillId="7" borderId="19" xfId="1" applyFont="1" applyFill="1" applyBorder="1" applyAlignment="1">
      <alignment horizontal="center" vertical="center" readingOrder="2"/>
    </xf>
    <xf numFmtId="0" fontId="11" fillId="7" borderId="20" xfId="1" applyFont="1" applyFill="1" applyBorder="1" applyAlignment="1">
      <alignment horizontal="center" vertical="center" readingOrder="2"/>
    </xf>
    <xf numFmtId="0" fontId="17" fillId="0" borderId="45" xfId="1" applyFont="1" applyBorder="1" applyAlignment="1">
      <alignment horizontal="center" vertical="center" readingOrder="2"/>
    </xf>
    <xf numFmtId="0" fontId="17" fillId="11" borderId="25" xfId="1" applyFont="1" applyFill="1" applyBorder="1" applyAlignment="1">
      <alignment horizontal="center" vertical="center" readingOrder="2"/>
    </xf>
    <xf numFmtId="0" fontId="17" fillId="0" borderId="25" xfId="1" applyFont="1" applyBorder="1" applyAlignment="1">
      <alignment horizontal="center" vertical="center" readingOrder="2"/>
    </xf>
    <xf numFmtId="0" fontId="17" fillId="0" borderId="36" xfId="1" applyFont="1" applyBorder="1" applyAlignment="1">
      <alignment horizontal="center" vertical="center" readingOrder="2"/>
    </xf>
    <xf numFmtId="0" fontId="17" fillId="0" borderId="56" xfId="1" applyFont="1" applyBorder="1" applyAlignment="1">
      <alignment horizontal="center" vertical="center" readingOrder="2"/>
    </xf>
    <xf numFmtId="0" fontId="17" fillId="10" borderId="5" xfId="1" applyFont="1" applyFill="1" applyBorder="1" applyAlignment="1">
      <alignment horizontal="center" vertical="center" readingOrder="2"/>
    </xf>
    <xf numFmtId="0" fontId="17" fillId="10" borderId="6" xfId="1" applyFont="1" applyFill="1" applyBorder="1" applyAlignment="1">
      <alignment horizontal="center" vertical="center" readingOrder="2"/>
    </xf>
    <xf numFmtId="0" fontId="17" fillId="5" borderId="7" xfId="1" applyFont="1" applyFill="1" applyBorder="1" applyAlignment="1">
      <alignment horizontal="center" vertical="center" readingOrder="2"/>
    </xf>
    <xf numFmtId="0" fontId="17" fillId="5" borderId="1" xfId="1" applyFont="1" applyFill="1" applyBorder="1" applyAlignment="1">
      <alignment horizontal="center" vertical="center" readingOrder="2"/>
    </xf>
    <xf numFmtId="0" fontId="17" fillId="10" borderId="7" xfId="1" applyFont="1" applyFill="1" applyBorder="1" applyAlignment="1">
      <alignment horizontal="center" vertical="center" readingOrder="2"/>
    </xf>
    <xf numFmtId="0" fontId="17" fillId="10" borderId="1" xfId="1" applyFont="1" applyFill="1" applyBorder="1" applyAlignment="1">
      <alignment horizontal="center" vertical="center" readingOrder="2"/>
    </xf>
    <xf numFmtId="0" fontId="17" fillId="10" borderId="50" xfId="1" applyFont="1" applyFill="1" applyBorder="1" applyAlignment="1">
      <alignment horizontal="center" vertical="center" readingOrder="2"/>
    </xf>
    <xf numFmtId="0" fontId="17" fillId="10" borderId="28" xfId="1" applyFont="1" applyFill="1" applyBorder="1" applyAlignment="1">
      <alignment horizontal="center" vertical="center" readingOrder="2"/>
    </xf>
    <xf numFmtId="3" fontId="11" fillId="7" borderId="3" xfId="1" applyNumberFormat="1" applyFont="1" applyFill="1" applyBorder="1" applyAlignment="1">
      <alignment horizontal="center" vertical="center" readingOrder="2"/>
    </xf>
    <xf numFmtId="3" fontId="11" fillId="7" borderId="14" xfId="1" applyNumberFormat="1" applyFont="1" applyFill="1" applyBorder="1" applyAlignment="1">
      <alignment horizontal="center" vertical="center" readingOrder="2"/>
    </xf>
    <xf numFmtId="3" fontId="11" fillId="7" borderId="21" xfId="1" applyNumberFormat="1" applyFont="1" applyFill="1" applyBorder="1" applyAlignment="1">
      <alignment horizontal="center" vertical="center" readingOrder="2"/>
    </xf>
    <xf numFmtId="3" fontId="14" fillId="7" borderId="42" xfId="1" applyNumberFormat="1" applyFont="1" applyFill="1" applyBorder="1" applyAlignment="1">
      <alignment horizontal="center" vertical="center" readingOrder="2"/>
    </xf>
    <xf numFmtId="3" fontId="14" fillId="8" borderId="42" xfId="1" applyNumberFormat="1" applyFont="1" applyFill="1" applyBorder="1" applyAlignment="1">
      <alignment horizontal="center" vertical="center" readingOrder="2"/>
    </xf>
    <xf numFmtId="3" fontId="14" fillId="8" borderId="14" xfId="1" applyNumberFormat="1" applyFont="1" applyFill="1" applyBorder="1" applyAlignment="1">
      <alignment horizontal="center" vertical="center" readingOrder="2"/>
    </xf>
    <xf numFmtId="3" fontId="14" fillId="13" borderId="42" xfId="1" applyNumberFormat="1" applyFont="1" applyFill="1" applyBorder="1" applyAlignment="1">
      <alignment horizontal="center" vertical="center" readingOrder="2"/>
    </xf>
    <xf numFmtId="3" fontId="14" fillId="13" borderId="14" xfId="1" applyNumberFormat="1" applyFont="1" applyFill="1" applyBorder="1" applyAlignment="1">
      <alignment horizontal="center" vertical="center" readingOrder="2"/>
    </xf>
    <xf numFmtId="3" fontId="14" fillId="7" borderId="13" xfId="1" applyNumberFormat="1" applyFont="1" applyFill="1" applyBorder="1" applyAlignment="1">
      <alignment horizontal="center" vertical="center" readingOrder="2"/>
    </xf>
    <xf numFmtId="3" fontId="14" fillId="12" borderId="13" xfId="1" applyNumberFormat="1" applyFont="1" applyFill="1" applyBorder="1" applyAlignment="1">
      <alignment horizontal="center" vertical="center" readingOrder="2"/>
    </xf>
    <xf numFmtId="3" fontId="14" fillId="12" borderId="14" xfId="1" applyNumberFormat="1" applyFont="1" applyFill="1" applyBorder="1" applyAlignment="1">
      <alignment horizontal="center" vertical="center" readingOrder="2"/>
    </xf>
    <xf numFmtId="3" fontId="14" fillId="12" borderId="42" xfId="1" applyNumberFormat="1" applyFont="1" applyFill="1" applyBorder="1" applyAlignment="1">
      <alignment horizontal="center" vertical="center" readingOrder="2"/>
    </xf>
    <xf numFmtId="3" fontId="14" fillId="8" borderId="13" xfId="1" applyNumberFormat="1" applyFont="1" applyFill="1" applyBorder="1" applyAlignment="1">
      <alignment horizontal="center" vertical="center" readingOrder="2"/>
    </xf>
    <xf numFmtId="3" fontId="14" fillId="6" borderId="52" xfId="1" applyNumberFormat="1" applyFont="1" applyFill="1" applyBorder="1" applyAlignment="1">
      <alignment horizontal="center" vertical="center" readingOrder="2"/>
    </xf>
    <xf numFmtId="3" fontId="11" fillId="6" borderId="3" xfId="1" applyNumberFormat="1" applyFont="1" applyFill="1" applyBorder="1" applyAlignment="1">
      <alignment horizontal="center" vertical="center" readingOrder="2"/>
    </xf>
    <xf numFmtId="3" fontId="14" fillId="6" borderId="4" xfId="1" applyNumberFormat="1" applyFont="1" applyFill="1" applyBorder="1" applyAlignment="1">
      <alignment horizontal="center" vertical="center" readingOrder="2"/>
    </xf>
    <xf numFmtId="0" fontId="14" fillId="3" borderId="13" xfId="1" applyFont="1" applyFill="1" applyBorder="1" applyAlignment="1">
      <alignment horizontal="center" vertical="center" wrapText="1" readingOrder="2"/>
    </xf>
    <xf numFmtId="0" fontId="14" fillId="3" borderId="14" xfId="1" applyFont="1" applyFill="1" applyBorder="1" applyAlignment="1">
      <alignment horizontal="center" vertical="center" wrapText="1" readingOrder="2"/>
    </xf>
    <xf numFmtId="3" fontId="12" fillId="0" borderId="0" xfId="1" applyNumberFormat="1" applyFont="1"/>
    <xf numFmtId="0" fontId="1" fillId="0" borderId="0" xfId="3"/>
    <xf numFmtId="0" fontId="1" fillId="10" borderId="0" xfId="3" applyFill="1"/>
    <xf numFmtId="0" fontId="1" fillId="0" borderId="15" xfId="3" applyBorder="1"/>
    <xf numFmtId="0" fontId="1" fillId="0" borderId="39" xfId="3" applyBorder="1"/>
    <xf numFmtId="0" fontId="1" fillId="10" borderId="15" xfId="3" applyFill="1" applyBorder="1"/>
    <xf numFmtId="0" fontId="1" fillId="0" borderId="40" xfId="3" applyBorder="1"/>
    <xf numFmtId="0" fontId="1" fillId="0" borderId="72" xfId="3" applyBorder="1"/>
    <xf numFmtId="0" fontId="10" fillId="10" borderId="0" xfId="3" applyFont="1" applyFill="1" applyAlignment="1">
      <alignment horizontal="center" vertical="center" wrapText="1" readingOrder="2"/>
    </xf>
    <xf numFmtId="0" fontId="9" fillId="0" borderId="0" xfId="3" applyFont="1" applyAlignment="1">
      <alignment horizontal="center" vertical="center"/>
    </xf>
    <xf numFmtId="0" fontId="14" fillId="10" borderId="50" xfId="3" applyFont="1" applyFill="1" applyBorder="1" applyAlignment="1">
      <alignment horizontal="center" vertical="center" readingOrder="2"/>
    </xf>
    <xf numFmtId="3" fontId="9" fillId="0" borderId="35" xfId="3" applyNumberFormat="1" applyFont="1" applyBorder="1" applyAlignment="1">
      <alignment horizontal="center" vertical="center" readingOrder="2"/>
    </xf>
    <xf numFmtId="3" fontId="9" fillId="0" borderId="7" xfId="3" applyNumberFormat="1" applyFont="1" applyBorder="1" applyAlignment="1">
      <alignment horizontal="center" vertical="center" readingOrder="2"/>
    </xf>
    <xf numFmtId="3" fontId="9" fillId="0" borderId="8" xfId="3" applyNumberFormat="1" applyFont="1" applyBorder="1" applyAlignment="1">
      <alignment horizontal="center" vertical="center" readingOrder="2"/>
    </xf>
    <xf numFmtId="0" fontId="1" fillId="0" borderId="8" xfId="3" applyBorder="1"/>
    <xf numFmtId="0" fontId="1" fillId="0" borderId="26" xfId="3" applyBorder="1"/>
    <xf numFmtId="3" fontId="9" fillId="0" borderId="1" xfId="3" applyNumberFormat="1" applyFont="1" applyBorder="1" applyAlignment="1">
      <alignment horizontal="center" vertical="center" readingOrder="2"/>
    </xf>
    <xf numFmtId="3" fontId="9" fillId="0" borderId="25" xfId="3" applyNumberFormat="1" applyFont="1" applyBorder="1" applyAlignment="1">
      <alignment horizontal="center" vertical="center" readingOrder="2"/>
    </xf>
    <xf numFmtId="0" fontId="14" fillId="10" borderId="7" xfId="3" applyFont="1" applyFill="1" applyBorder="1" applyAlignment="1">
      <alignment horizontal="center" vertical="center" readingOrder="2"/>
    </xf>
    <xf numFmtId="0" fontId="1" fillId="6" borderId="40" xfId="3" applyFill="1" applyBorder="1"/>
    <xf numFmtId="0" fontId="1" fillId="6" borderId="0" xfId="3" applyFill="1"/>
    <xf numFmtId="0" fontId="14" fillId="0" borderId="7" xfId="3" applyFont="1" applyBorder="1" applyAlignment="1">
      <alignment horizontal="center" vertical="center" readingOrder="2"/>
    </xf>
    <xf numFmtId="3" fontId="9" fillId="0" borderId="61" xfId="3" applyNumberFormat="1" applyFont="1" applyBorder="1" applyAlignment="1">
      <alignment horizontal="center" vertical="center" readingOrder="2"/>
    </xf>
    <xf numFmtId="3" fontId="9" fillId="0" borderId="26" xfId="3" applyNumberFormat="1" applyFont="1" applyBorder="1" applyAlignment="1">
      <alignment horizontal="center" vertical="center" readingOrder="2"/>
    </xf>
    <xf numFmtId="3" fontId="9" fillId="5" borderId="7" xfId="3" applyNumberFormat="1" applyFont="1" applyFill="1" applyBorder="1" applyAlignment="1">
      <alignment horizontal="center" vertical="center" readingOrder="2"/>
    </xf>
    <xf numFmtId="3" fontId="9" fillId="5" borderId="8" xfId="3" applyNumberFormat="1" applyFont="1" applyFill="1" applyBorder="1" applyAlignment="1">
      <alignment horizontal="center" vertical="center" readingOrder="2"/>
    </xf>
    <xf numFmtId="3" fontId="9" fillId="5" borderId="26" xfId="3" applyNumberFormat="1" applyFont="1" applyFill="1" applyBorder="1" applyAlignment="1">
      <alignment horizontal="center" vertical="center" readingOrder="2"/>
    </xf>
    <xf numFmtId="3" fontId="9" fillId="5" borderId="25" xfId="3" applyNumberFormat="1" applyFont="1" applyFill="1" applyBorder="1" applyAlignment="1">
      <alignment horizontal="center" vertical="center" readingOrder="2"/>
    </xf>
    <xf numFmtId="3" fontId="9" fillId="11" borderId="7" xfId="3" applyNumberFormat="1" applyFont="1" applyFill="1" applyBorder="1" applyAlignment="1">
      <alignment horizontal="center" vertical="center" readingOrder="2"/>
    </xf>
    <xf numFmtId="0" fontId="1" fillId="11" borderId="8" xfId="3" applyFill="1" applyBorder="1"/>
    <xf numFmtId="0" fontId="1" fillId="11" borderId="26" xfId="3" applyFill="1" applyBorder="1"/>
    <xf numFmtId="3" fontId="9" fillId="11" borderId="1" xfId="3" applyNumberFormat="1" applyFont="1" applyFill="1" applyBorder="1" applyAlignment="1">
      <alignment horizontal="center" vertical="center" readingOrder="2"/>
    </xf>
    <xf numFmtId="3" fontId="9" fillId="11" borderId="25" xfId="3" applyNumberFormat="1" applyFont="1" applyFill="1" applyBorder="1" applyAlignment="1">
      <alignment horizontal="center" vertical="center" readingOrder="2"/>
    </xf>
    <xf numFmtId="0" fontId="9" fillId="0" borderId="11" xfId="3" applyFont="1" applyBorder="1" applyAlignment="1">
      <alignment horizontal="center" vertical="center" readingOrder="2"/>
    </xf>
    <xf numFmtId="0" fontId="9" fillId="0" borderId="47" xfId="3" applyFont="1" applyBorder="1" applyAlignment="1">
      <alignment horizontal="center" vertical="center" readingOrder="2"/>
    </xf>
    <xf numFmtId="0" fontId="9" fillId="0" borderId="34" xfId="3" applyFont="1" applyBorder="1" applyAlignment="1">
      <alignment horizontal="center" vertical="center" readingOrder="2"/>
    </xf>
    <xf numFmtId="0" fontId="9" fillId="0" borderId="12" xfId="3" applyFont="1" applyBorder="1" applyAlignment="1">
      <alignment horizontal="center" vertical="center" readingOrder="2"/>
    </xf>
    <xf numFmtId="0" fontId="9" fillId="0" borderId="32" xfId="3" applyFont="1" applyBorder="1" applyAlignment="1">
      <alignment horizontal="center" vertical="center" readingOrder="2"/>
    </xf>
    <xf numFmtId="0" fontId="9" fillId="0" borderId="42" xfId="3" applyFont="1" applyBorder="1" applyAlignment="1">
      <alignment horizontal="center" vertical="center" readingOrder="2"/>
    </xf>
    <xf numFmtId="0" fontId="9" fillId="0" borderId="55" xfId="3" applyFont="1" applyBorder="1" applyAlignment="1">
      <alignment horizontal="center" vertical="center" readingOrder="2"/>
    </xf>
    <xf numFmtId="0" fontId="9" fillId="0" borderId="13" xfId="3" applyFont="1" applyBorder="1" applyAlignment="1">
      <alignment horizontal="center" vertical="center" readingOrder="2"/>
    </xf>
    <xf numFmtId="0" fontId="9" fillId="0" borderId="24" xfId="3" applyFont="1" applyBorder="1" applyAlignment="1">
      <alignment horizontal="center" vertical="center" readingOrder="2"/>
    </xf>
    <xf numFmtId="0" fontId="9" fillId="0" borderId="14" xfId="3" applyFont="1" applyBorder="1" applyAlignment="1">
      <alignment horizontal="center" vertical="center" readingOrder="2"/>
    </xf>
    <xf numFmtId="0" fontId="1" fillId="0" borderId="41" xfId="3" applyBorder="1"/>
    <xf numFmtId="0" fontId="14" fillId="10" borderId="5" xfId="3" applyFont="1" applyFill="1" applyBorder="1" applyAlignment="1">
      <alignment horizontal="center" vertical="center" readingOrder="2"/>
    </xf>
    <xf numFmtId="3" fontId="9" fillId="0" borderId="60" xfId="3" applyNumberFormat="1" applyFont="1" applyBorder="1" applyAlignment="1">
      <alignment horizontal="center" vertical="center" readingOrder="2"/>
    </xf>
    <xf numFmtId="3" fontId="9" fillId="0" borderId="5" xfId="3" applyNumberFormat="1" applyFont="1" applyBorder="1" applyAlignment="1">
      <alignment horizontal="center" vertical="center" readingOrder="2"/>
    </xf>
    <xf numFmtId="3" fontId="9" fillId="0" borderId="10" xfId="3" applyNumberFormat="1" applyFont="1" applyBorder="1" applyAlignment="1">
      <alignment horizontal="center" vertical="center" readingOrder="2"/>
    </xf>
    <xf numFmtId="3" fontId="9" fillId="0" borderId="49" xfId="3" applyNumberFormat="1" applyFont="1" applyBorder="1" applyAlignment="1">
      <alignment horizontal="center" vertical="center" readingOrder="2"/>
    </xf>
    <xf numFmtId="0" fontId="1" fillId="0" borderId="23" xfId="3" applyBorder="1"/>
    <xf numFmtId="0" fontId="1" fillId="0" borderId="22" xfId="3" applyBorder="1"/>
    <xf numFmtId="3" fontId="9" fillId="0" borderId="22" xfId="3" applyNumberFormat="1" applyFont="1" applyBorder="1" applyAlignment="1">
      <alignment horizontal="center" vertical="center" readingOrder="2"/>
    </xf>
    <xf numFmtId="3" fontId="9" fillId="10" borderId="27" xfId="3" applyNumberFormat="1" applyFont="1" applyFill="1" applyBorder="1" applyAlignment="1">
      <alignment horizontal="center" vertical="center" readingOrder="2"/>
    </xf>
    <xf numFmtId="3" fontId="9" fillId="10" borderId="0" xfId="3" applyNumberFormat="1" applyFont="1" applyFill="1" applyAlignment="1">
      <alignment horizontal="center" vertical="center" readingOrder="2"/>
    </xf>
    <xf numFmtId="0" fontId="7" fillId="10" borderId="1" xfId="3" applyFont="1" applyFill="1" applyBorder="1" applyAlignment="1">
      <alignment horizontal="center" vertical="center" readingOrder="2"/>
    </xf>
    <xf numFmtId="0" fontId="7" fillId="6" borderId="1" xfId="3" applyFont="1" applyFill="1" applyBorder="1" applyAlignment="1">
      <alignment horizontal="center" vertical="center" readingOrder="2"/>
    </xf>
    <xf numFmtId="0" fontId="14" fillId="5" borderId="7" xfId="3" applyFont="1" applyFill="1" applyBorder="1" applyAlignment="1">
      <alignment horizontal="center" vertical="center" readingOrder="2"/>
    </xf>
    <xf numFmtId="3" fontId="9" fillId="5" borderId="61" xfId="3" applyNumberFormat="1" applyFont="1" applyFill="1" applyBorder="1" applyAlignment="1">
      <alignment horizontal="center" vertical="center" readingOrder="2"/>
    </xf>
    <xf numFmtId="3" fontId="9" fillId="10" borderId="81" xfId="3" applyNumberFormat="1" applyFont="1" applyFill="1" applyBorder="1" applyAlignment="1">
      <alignment horizontal="center" vertical="center" readingOrder="2"/>
    </xf>
    <xf numFmtId="0" fontId="7" fillId="5" borderId="1" xfId="3" applyFont="1" applyFill="1" applyBorder="1" applyAlignment="1">
      <alignment horizontal="center" vertical="center" readingOrder="2"/>
    </xf>
    <xf numFmtId="3" fontId="9" fillId="0" borderId="0" xfId="3" applyNumberFormat="1" applyFont="1" applyAlignment="1">
      <alignment horizontal="center" vertical="center" readingOrder="2"/>
    </xf>
    <xf numFmtId="0" fontId="7" fillId="10" borderId="1" xfId="3" applyFont="1" applyFill="1" applyBorder="1" applyAlignment="1">
      <alignment horizontal="center" vertical="center" wrapText="1" readingOrder="2"/>
    </xf>
    <xf numFmtId="0" fontId="7" fillId="5" borderId="1" xfId="3" applyFont="1" applyFill="1" applyBorder="1" applyAlignment="1">
      <alignment horizontal="center" vertical="center" wrapText="1" readingOrder="2"/>
    </xf>
    <xf numFmtId="0" fontId="14" fillId="11" borderId="28" xfId="3" applyFont="1" applyFill="1" applyBorder="1" applyAlignment="1">
      <alignment horizontal="center" vertical="center" readingOrder="2"/>
    </xf>
    <xf numFmtId="3" fontId="9" fillId="5" borderId="82" xfId="3" applyNumberFormat="1" applyFont="1" applyFill="1" applyBorder="1" applyAlignment="1">
      <alignment horizontal="center" vertical="center" readingOrder="2"/>
    </xf>
    <xf numFmtId="3" fontId="9" fillId="5" borderId="34" xfId="3" applyNumberFormat="1" applyFont="1" applyFill="1" applyBorder="1" applyAlignment="1">
      <alignment horizontal="center" vertical="center" readingOrder="2"/>
    </xf>
    <xf numFmtId="3" fontId="9" fillId="5" borderId="28" xfId="3" applyNumberFormat="1" applyFont="1" applyFill="1" applyBorder="1" applyAlignment="1">
      <alignment horizontal="center" vertical="center" readingOrder="2"/>
    </xf>
    <xf numFmtId="3" fontId="9" fillId="5" borderId="9" xfId="3" applyNumberFormat="1" applyFont="1" applyFill="1" applyBorder="1" applyAlignment="1">
      <alignment horizontal="center" vertical="center" readingOrder="2"/>
    </xf>
    <xf numFmtId="3" fontId="9" fillId="5" borderId="47" xfId="3" applyNumberFormat="1" applyFont="1" applyFill="1" applyBorder="1" applyAlignment="1">
      <alignment horizontal="center" vertical="center" readingOrder="2"/>
    </xf>
    <xf numFmtId="3" fontId="9" fillId="10" borderId="33" xfId="3" applyNumberFormat="1" applyFont="1" applyFill="1" applyBorder="1" applyAlignment="1">
      <alignment horizontal="center" vertical="center" readingOrder="2"/>
    </xf>
    <xf numFmtId="3" fontId="9" fillId="2" borderId="24" xfId="3" applyNumberFormat="1" applyFont="1" applyFill="1" applyBorder="1" applyAlignment="1">
      <alignment horizontal="center" vertical="center" readingOrder="2"/>
    </xf>
    <xf numFmtId="3" fontId="9" fillId="2" borderId="55" xfId="3" applyNumberFormat="1" applyFont="1" applyFill="1" applyBorder="1" applyAlignment="1">
      <alignment horizontal="center" vertical="center" readingOrder="2"/>
    </xf>
    <xf numFmtId="3" fontId="9" fillId="2" borderId="41" xfId="3" applyNumberFormat="1" applyFont="1" applyFill="1" applyBorder="1" applyAlignment="1">
      <alignment horizontal="center" vertical="center" readingOrder="2"/>
    </xf>
    <xf numFmtId="3" fontId="9" fillId="2" borderId="53" xfId="3" applyNumberFormat="1" applyFont="1" applyFill="1" applyBorder="1" applyAlignment="1">
      <alignment horizontal="center" vertical="center" readingOrder="2"/>
    </xf>
    <xf numFmtId="3" fontId="9" fillId="2" borderId="15" xfId="3" applyNumberFormat="1" applyFont="1" applyFill="1" applyBorder="1" applyAlignment="1">
      <alignment horizontal="center" vertical="center" readingOrder="2"/>
    </xf>
    <xf numFmtId="0" fontId="1" fillId="0" borderId="30" xfId="3" applyBorder="1"/>
    <xf numFmtId="0" fontId="1" fillId="0" borderId="21" xfId="3" applyBorder="1"/>
    <xf numFmtId="3" fontId="9" fillId="0" borderId="9" xfId="3" applyNumberFormat="1" applyFont="1" applyBorder="1" applyAlignment="1">
      <alignment horizontal="center" vertical="center" readingOrder="2"/>
    </xf>
    <xf numFmtId="3" fontId="9" fillId="2" borderId="0" xfId="3" applyNumberFormat="1" applyFont="1" applyFill="1" applyAlignment="1">
      <alignment horizontal="center" vertical="center" readingOrder="2"/>
    </xf>
    <xf numFmtId="0" fontId="9" fillId="3" borderId="24" xfId="3" applyFont="1" applyFill="1" applyBorder="1" applyAlignment="1">
      <alignment horizontal="center" vertical="center" readingOrder="2"/>
    </xf>
    <xf numFmtId="0" fontId="18" fillId="0" borderId="0" xfId="3" applyFont="1" applyAlignment="1">
      <alignment horizontal="center" vertical="center"/>
    </xf>
    <xf numFmtId="0" fontId="9" fillId="0" borderId="3" xfId="3" applyFont="1" applyBorder="1" applyAlignment="1">
      <alignment vertical="center" readingOrder="2"/>
    </xf>
    <xf numFmtId="0" fontId="9" fillId="0" borderId="2" xfId="3" applyFont="1" applyBorder="1" applyAlignment="1">
      <alignment horizontal="center" vertical="center" textRotation="90" readingOrder="2"/>
    </xf>
    <xf numFmtId="0" fontId="14" fillId="0" borderId="51" xfId="3" applyFont="1" applyBorder="1" applyAlignment="1">
      <alignment horizontal="center" vertical="center" readingOrder="2"/>
    </xf>
    <xf numFmtId="0" fontId="14" fillId="15" borderId="8" xfId="3" applyFont="1" applyFill="1" applyBorder="1" applyAlignment="1">
      <alignment horizontal="center" vertical="center" readingOrder="2"/>
    </xf>
    <xf numFmtId="0" fontId="14" fillId="0" borderId="8" xfId="3" applyFont="1" applyBorder="1" applyAlignment="1">
      <alignment horizontal="center" vertical="center" readingOrder="2"/>
    </xf>
    <xf numFmtId="0" fontId="14" fillId="11" borderId="54" xfId="3" applyFont="1" applyFill="1" applyBorder="1" applyAlignment="1">
      <alignment horizontal="center" vertical="center" readingOrder="2"/>
    </xf>
    <xf numFmtId="0" fontId="14" fillId="15" borderId="52" xfId="3" applyFont="1" applyFill="1" applyBorder="1" applyAlignment="1">
      <alignment horizontal="center" vertical="center" readingOrder="2"/>
    </xf>
    <xf numFmtId="3" fontId="11" fillId="6" borderId="15" xfId="3" applyNumberFormat="1" applyFont="1" applyFill="1" applyBorder="1" applyAlignment="1">
      <alignment horizontal="center" vertical="center" readingOrder="2"/>
    </xf>
    <xf numFmtId="3" fontId="11" fillId="7" borderId="14" xfId="3" applyNumberFormat="1" applyFont="1" applyFill="1" applyBorder="1" applyAlignment="1">
      <alignment horizontal="center" vertical="center" readingOrder="2"/>
    </xf>
    <xf numFmtId="3" fontId="11" fillId="6" borderId="55" xfId="3" applyNumberFormat="1" applyFont="1" applyFill="1" applyBorder="1" applyAlignment="1">
      <alignment horizontal="center" vertical="center" readingOrder="2"/>
    </xf>
    <xf numFmtId="3" fontId="11" fillId="7" borderId="13" xfId="3" applyNumberFormat="1" applyFont="1" applyFill="1" applyBorder="1" applyAlignment="1">
      <alignment horizontal="center" vertical="center" readingOrder="2"/>
    </xf>
    <xf numFmtId="3" fontId="11" fillId="6" borderId="24" xfId="3" applyNumberFormat="1" applyFont="1" applyFill="1" applyBorder="1" applyAlignment="1">
      <alignment horizontal="center" vertical="center" readingOrder="2"/>
    </xf>
    <xf numFmtId="3" fontId="11" fillId="7" borderId="42" xfId="3" applyNumberFormat="1" applyFont="1" applyFill="1" applyBorder="1" applyAlignment="1">
      <alignment horizontal="center" vertical="center" readingOrder="2"/>
    </xf>
    <xf numFmtId="0" fontId="21" fillId="0" borderId="0" xfId="3" applyFont="1"/>
    <xf numFmtId="3" fontId="11" fillId="3" borderId="13" xfId="3" applyNumberFormat="1" applyFont="1" applyFill="1" applyBorder="1" applyAlignment="1">
      <alignment horizontal="center" vertical="center" readingOrder="2"/>
    </xf>
    <xf numFmtId="3" fontId="11" fillId="3" borderId="14" xfId="3" applyNumberFormat="1" applyFont="1" applyFill="1" applyBorder="1" applyAlignment="1">
      <alignment horizontal="center" vertical="center" readingOrder="2"/>
    </xf>
    <xf numFmtId="3" fontId="17" fillId="6" borderId="15" xfId="3" applyNumberFormat="1" applyFont="1" applyFill="1" applyBorder="1" applyAlignment="1">
      <alignment horizontal="center" vertical="center" readingOrder="2"/>
    </xf>
    <xf numFmtId="3" fontId="17" fillId="7" borderId="14" xfId="3" applyNumberFormat="1" applyFont="1" applyFill="1" applyBorder="1" applyAlignment="1">
      <alignment horizontal="center" vertical="center" readingOrder="2"/>
    </xf>
    <xf numFmtId="3" fontId="17" fillId="6" borderId="55" xfId="3" applyNumberFormat="1" applyFont="1" applyFill="1" applyBorder="1" applyAlignment="1">
      <alignment horizontal="center" vertical="center" readingOrder="2"/>
    </xf>
    <xf numFmtId="3" fontId="17" fillId="7" borderId="13" xfId="3" applyNumberFormat="1" applyFont="1" applyFill="1" applyBorder="1" applyAlignment="1">
      <alignment horizontal="center" vertical="center" readingOrder="2"/>
    </xf>
    <xf numFmtId="3" fontId="17" fillId="6" borderId="24" xfId="3" applyNumberFormat="1" applyFont="1" applyFill="1" applyBorder="1" applyAlignment="1">
      <alignment horizontal="center" vertical="center" readingOrder="2"/>
    </xf>
    <xf numFmtId="3" fontId="17" fillId="7" borderId="42" xfId="3" applyNumberFormat="1" applyFont="1" applyFill="1" applyBorder="1" applyAlignment="1">
      <alignment horizontal="center" vertical="center" readingOrder="2"/>
    </xf>
    <xf numFmtId="3" fontId="17" fillId="2" borderId="13" xfId="3" applyNumberFormat="1" applyFont="1" applyFill="1" applyBorder="1" applyAlignment="1">
      <alignment horizontal="center" vertical="center" readingOrder="2"/>
    </xf>
    <xf numFmtId="3" fontId="17" fillId="2" borderId="14" xfId="3" applyNumberFormat="1" applyFont="1" applyFill="1" applyBorder="1" applyAlignment="1">
      <alignment horizontal="center" vertical="center" readingOrder="2"/>
    </xf>
    <xf numFmtId="3" fontId="17" fillId="2" borderId="24" xfId="3" applyNumberFormat="1" applyFont="1" applyFill="1" applyBorder="1" applyAlignment="1">
      <alignment horizontal="center" vertical="center" readingOrder="2"/>
    </xf>
    <xf numFmtId="3" fontId="17" fillId="6" borderId="3" xfId="3" applyNumberFormat="1" applyFont="1" applyFill="1" applyBorder="1" applyAlignment="1">
      <alignment horizontal="center" vertical="center" readingOrder="2"/>
    </xf>
    <xf numFmtId="3" fontId="17" fillId="6" borderId="4" xfId="3" applyNumberFormat="1" applyFont="1" applyFill="1" applyBorder="1" applyAlignment="1">
      <alignment horizontal="center" vertical="center" readingOrder="2"/>
    </xf>
    <xf numFmtId="3" fontId="17" fillId="6" borderId="42" xfId="3" applyNumberFormat="1" applyFont="1" applyFill="1" applyBorder="1" applyAlignment="1">
      <alignment horizontal="center" vertical="center" readingOrder="2"/>
    </xf>
    <xf numFmtId="0" fontId="22" fillId="0" borderId="0" xfId="3" applyFont="1"/>
    <xf numFmtId="3" fontId="17" fillId="3" borderId="13" xfId="3" applyNumberFormat="1" applyFont="1" applyFill="1" applyBorder="1" applyAlignment="1">
      <alignment horizontal="center" vertical="center" readingOrder="2"/>
    </xf>
    <xf numFmtId="3" fontId="17" fillId="3" borderId="14" xfId="3" applyNumberFormat="1" applyFont="1" applyFill="1" applyBorder="1" applyAlignment="1">
      <alignment horizontal="center" vertical="center" readingOrder="2"/>
    </xf>
    <xf numFmtId="0" fontId="23" fillId="0" borderId="0" xfId="3" applyFont="1"/>
    <xf numFmtId="0" fontId="11" fillId="0" borderId="35" xfId="3" applyFont="1" applyBorder="1" applyAlignment="1">
      <alignment horizontal="center" vertical="center" readingOrder="2"/>
    </xf>
    <xf numFmtId="3" fontId="11" fillId="0" borderId="17" xfId="3" applyNumberFormat="1" applyFont="1" applyBorder="1" applyAlignment="1">
      <alignment horizontal="center" vertical="center" readingOrder="2"/>
    </xf>
    <xf numFmtId="3" fontId="11" fillId="0" borderId="67" xfId="3" applyNumberFormat="1" applyFont="1" applyBorder="1" applyAlignment="1">
      <alignment horizontal="center" vertical="center" readingOrder="2"/>
    </xf>
    <xf numFmtId="3" fontId="11" fillId="0" borderId="80" xfId="3" applyNumberFormat="1" applyFont="1" applyBorder="1" applyAlignment="1">
      <alignment horizontal="center" vertical="center" readingOrder="2"/>
    </xf>
    <xf numFmtId="3" fontId="11" fillId="0" borderId="35" xfId="3" applyNumberFormat="1" applyFont="1" applyBorder="1" applyAlignment="1">
      <alignment horizontal="center" vertical="center" readingOrder="2"/>
    </xf>
    <xf numFmtId="3" fontId="11" fillId="0" borderId="74" xfId="3" applyNumberFormat="1" applyFont="1" applyBorder="1" applyAlignment="1">
      <alignment horizontal="center" vertical="center" readingOrder="2"/>
    </xf>
    <xf numFmtId="3" fontId="11" fillId="0" borderId="79" xfId="3" applyNumberFormat="1" applyFont="1" applyBorder="1" applyAlignment="1">
      <alignment horizontal="center" vertical="center" readingOrder="2"/>
    </xf>
    <xf numFmtId="3" fontId="11" fillId="0" borderId="16" xfId="3" applyNumberFormat="1" applyFont="1" applyBorder="1" applyAlignment="1">
      <alignment horizontal="center" vertical="center" readingOrder="2"/>
    </xf>
    <xf numFmtId="0" fontId="11" fillId="15" borderId="26" xfId="3" applyFont="1" applyFill="1" applyBorder="1" applyAlignment="1">
      <alignment horizontal="center" vertical="center" readingOrder="2"/>
    </xf>
    <xf numFmtId="3" fontId="11" fillId="15" borderId="8" xfId="3" applyNumberFormat="1" applyFont="1" applyFill="1" applyBorder="1" applyAlignment="1">
      <alignment horizontal="center" vertical="center" readingOrder="2"/>
    </xf>
    <xf numFmtId="3" fontId="11" fillId="15" borderId="61" xfId="3" applyNumberFormat="1" applyFont="1" applyFill="1" applyBorder="1" applyAlignment="1">
      <alignment horizontal="center" vertical="center" readingOrder="2"/>
    </xf>
    <xf numFmtId="3" fontId="11" fillId="15" borderId="7" xfId="3" applyNumberFormat="1" applyFont="1" applyFill="1" applyBorder="1" applyAlignment="1">
      <alignment horizontal="center" vertical="center" readingOrder="2"/>
    </xf>
    <xf numFmtId="3" fontId="11" fillId="15" borderId="26" xfId="3" applyNumberFormat="1" applyFont="1" applyFill="1" applyBorder="1" applyAlignment="1">
      <alignment horizontal="center" vertical="center" readingOrder="2"/>
    </xf>
    <xf numFmtId="3" fontId="11" fillId="15" borderId="25" xfId="3" applyNumberFormat="1" applyFont="1" applyFill="1" applyBorder="1" applyAlignment="1">
      <alignment horizontal="center" vertical="center" readingOrder="2"/>
    </xf>
    <xf numFmtId="3" fontId="11" fillId="15" borderId="67" xfId="3" applyNumberFormat="1" applyFont="1" applyFill="1" applyBorder="1" applyAlignment="1">
      <alignment horizontal="center" vertical="center" readingOrder="2"/>
    </xf>
    <xf numFmtId="3" fontId="11" fillId="15" borderId="1" xfId="3" applyNumberFormat="1" applyFont="1" applyFill="1" applyBorder="1" applyAlignment="1">
      <alignment horizontal="center" vertical="center" readingOrder="2"/>
    </xf>
    <xf numFmtId="3" fontId="11" fillId="15" borderId="74" xfId="3" applyNumberFormat="1" applyFont="1" applyFill="1" applyBorder="1" applyAlignment="1">
      <alignment horizontal="center" vertical="center" readingOrder="2"/>
    </xf>
    <xf numFmtId="0" fontId="11" fillId="0" borderId="26" xfId="3" applyFont="1" applyBorder="1" applyAlignment="1">
      <alignment horizontal="center" vertical="center" readingOrder="2"/>
    </xf>
    <xf numFmtId="3" fontId="11" fillId="0" borderId="8" xfId="3" applyNumberFormat="1" applyFont="1" applyBorder="1" applyAlignment="1">
      <alignment horizontal="center" vertical="center" readingOrder="2"/>
    </xf>
    <xf numFmtId="3" fontId="11" fillId="0" borderId="61" xfId="3" applyNumberFormat="1" applyFont="1" applyBorder="1" applyAlignment="1">
      <alignment horizontal="center" vertical="center" readingOrder="2"/>
    </xf>
    <xf numFmtId="3" fontId="11" fillId="0" borderId="7" xfId="3" applyNumberFormat="1" applyFont="1" applyBorder="1" applyAlignment="1">
      <alignment horizontal="center" vertical="center" readingOrder="2"/>
    </xf>
    <xf numFmtId="3" fontId="11" fillId="0" borderId="26" xfId="3" applyNumberFormat="1" applyFont="1" applyBorder="1" applyAlignment="1">
      <alignment horizontal="center" vertical="center" readingOrder="2"/>
    </xf>
    <xf numFmtId="3" fontId="11" fillId="0" borderId="25" xfId="3" applyNumberFormat="1" applyFont="1" applyBorder="1" applyAlignment="1">
      <alignment horizontal="center" vertical="center" readingOrder="2"/>
    </xf>
    <xf numFmtId="3" fontId="11" fillId="0" borderId="1" xfId="3" applyNumberFormat="1" applyFont="1" applyBorder="1" applyAlignment="1">
      <alignment horizontal="center" vertical="center" readingOrder="2"/>
    </xf>
    <xf numFmtId="0" fontId="11" fillId="15" borderId="34" xfId="3" applyFont="1" applyFill="1" applyBorder="1" applyAlignment="1">
      <alignment horizontal="center" vertical="center" readingOrder="2"/>
    </xf>
    <xf numFmtId="0" fontId="11" fillId="15" borderId="82" xfId="3" applyFont="1" applyFill="1" applyBorder="1" applyAlignment="1">
      <alignment horizontal="center" vertical="center" readingOrder="2"/>
    </xf>
    <xf numFmtId="3" fontId="11" fillId="15" borderId="28" xfId="3" applyNumberFormat="1" applyFont="1" applyFill="1" applyBorder="1" applyAlignment="1">
      <alignment horizontal="center" vertical="center" readingOrder="2"/>
    </xf>
    <xf numFmtId="3" fontId="11" fillId="15" borderId="34" xfId="3" applyNumberFormat="1" applyFont="1" applyFill="1" applyBorder="1" applyAlignment="1">
      <alignment horizontal="center" vertical="center" readingOrder="2"/>
    </xf>
    <xf numFmtId="3" fontId="11" fillId="15" borderId="47" xfId="3" applyNumberFormat="1" applyFont="1" applyFill="1" applyBorder="1" applyAlignment="1">
      <alignment horizontal="center" vertical="center" readingOrder="2"/>
    </xf>
    <xf numFmtId="3" fontId="11" fillId="15" borderId="32" xfId="3" applyNumberFormat="1" applyFont="1" applyFill="1" applyBorder="1" applyAlignment="1">
      <alignment horizontal="center" vertical="center" readingOrder="2"/>
    </xf>
    <xf numFmtId="3" fontId="11" fillId="15" borderId="82" xfId="3" applyNumberFormat="1" applyFont="1" applyFill="1" applyBorder="1" applyAlignment="1">
      <alignment horizontal="center" vertical="center" readingOrder="2"/>
    </xf>
    <xf numFmtId="3" fontId="11" fillId="15" borderId="11" xfId="3" applyNumberFormat="1" applyFont="1" applyFill="1" applyBorder="1" applyAlignment="1">
      <alignment horizontal="center" vertical="center" readingOrder="2"/>
    </xf>
    <xf numFmtId="3" fontId="11" fillId="15" borderId="12" xfId="3" applyNumberFormat="1" applyFont="1" applyFill="1" applyBorder="1" applyAlignment="1">
      <alignment horizontal="center" vertical="center" readingOrder="2"/>
    </xf>
    <xf numFmtId="3" fontId="11" fillId="0" borderId="60" xfId="3" applyNumberFormat="1" applyFont="1" applyBorder="1" applyAlignment="1">
      <alignment horizontal="center" vertical="center" readingOrder="2"/>
    </xf>
    <xf numFmtId="3" fontId="11" fillId="0" borderId="5" xfId="3" applyNumberFormat="1" applyFont="1" applyBorder="1" applyAlignment="1">
      <alignment horizontal="center" vertical="center" readingOrder="2"/>
    </xf>
    <xf numFmtId="3" fontId="11" fillId="0" borderId="6" xfId="3" applyNumberFormat="1" applyFont="1" applyBorder="1" applyAlignment="1">
      <alignment horizontal="center" vertical="center" readingOrder="2"/>
    </xf>
    <xf numFmtId="3" fontId="11" fillId="0" borderId="10" xfId="3" applyNumberFormat="1" applyFont="1" applyBorder="1" applyAlignment="1">
      <alignment horizontal="center" vertical="center" readingOrder="2"/>
    </xf>
    <xf numFmtId="3" fontId="11" fillId="0" borderId="49" xfId="3" applyNumberFormat="1" applyFont="1" applyBorder="1" applyAlignment="1">
      <alignment horizontal="center" vertical="center" readingOrder="2"/>
    </xf>
    <xf numFmtId="3" fontId="11" fillId="0" borderId="44" xfId="3" applyNumberFormat="1" applyFont="1" applyBorder="1" applyAlignment="1">
      <alignment horizontal="center" vertical="center" readingOrder="2"/>
    </xf>
    <xf numFmtId="3" fontId="11" fillId="10" borderId="5" xfId="3" applyNumberFormat="1" applyFont="1" applyFill="1" applyBorder="1" applyAlignment="1">
      <alignment horizontal="center" vertical="center" readingOrder="2"/>
    </xf>
    <xf numFmtId="3" fontId="11" fillId="10" borderId="49" xfId="3" applyNumberFormat="1" applyFont="1" applyFill="1" applyBorder="1" applyAlignment="1">
      <alignment horizontal="center" vertical="center" readingOrder="2"/>
    </xf>
    <xf numFmtId="3" fontId="11" fillId="10" borderId="10" xfId="3" applyNumberFormat="1" applyFont="1" applyFill="1" applyBorder="1" applyAlignment="1">
      <alignment horizontal="center" vertical="center" readingOrder="2"/>
    </xf>
    <xf numFmtId="3" fontId="11" fillId="10" borderId="44" xfId="3" applyNumberFormat="1" applyFont="1" applyFill="1" applyBorder="1" applyAlignment="1">
      <alignment horizontal="center" vertical="center" readingOrder="2"/>
    </xf>
    <xf numFmtId="3" fontId="11" fillId="5" borderId="61" xfId="3" applyNumberFormat="1" applyFont="1" applyFill="1" applyBorder="1" applyAlignment="1">
      <alignment horizontal="center" vertical="center" readingOrder="2"/>
    </xf>
    <xf numFmtId="3" fontId="11" fillId="5" borderId="7" xfId="3" applyNumberFormat="1" applyFont="1" applyFill="1" applyBorder="1" applyAlignment="1">
      <alignment horizontal="center" vertical="center" readingOrder="2"/>
    </xf>
    <xf numFmtId="3" fontId="11" fillId="5" borderId="1" xfId="3" applyNumberFormat="1" applyFont="1" applyFill="1" applyBorder="1" applyAlignment="1">
      <alignment horizontal="center" vertical="center" readingOrder="2"/>
    </xf>
    <xf numFmtId="3" fontId="11" fillId="5" borderId="17" xfId="3" applyNumberFormat="1" applyFont="1" applyFill="1" applyBorder="1" applyAlignment="1">
      <alignment horizontal="center" vertical="center" readingOrder="2"/>
    </xf>
    <xf numFmtId="3" fontId="11" fillId="5" borderId="26" xfId="3" applyNumberFormat="1" applyFont="1" applyFill="1" applyBorder="1" applyAlignment="1">
      <alignment horizontal="center" vertical="center" readingOrder="2"/>
    </xf>
    <xf numFmtId="3" fontId="11" fillId="5" borderId="74" xfId="3" applyNumberFormat="1" applyFont="1" applyFill="1" applyBorder="1" applyAlignment="1">
      <alignment horizontal="center" vertical="center" readingOrder="2"/>
    </xf>
    <xf numFmtId="3" fontId="11" fillId="5" borderId="8" xfId="3" applyNumberFormat="1" applyFont="1" applyFill="1" applyBorder="1" applyAlignment="1">
      <alignment horizontal="center" vertical="center" readingOrder="2"/>
    </xf>
    <xf numFmtId="3" fontId="11" fillId="5" borderId="35" xfId="3" applyNumberFormat="1" applyFont="1" applyFill="1" applyBorder="1" applyAlignment="1">
      <alignment horizontal="center" vertical="center" readingOrder="2"/>
    </xf>
    <xf numFmtId="3" fontId="11" fillId="5" borderId="79" xfId="3" applyNumberFormat="1" applyFont="1" applyFill="1" applyBorder="1" applyAlignment="1">
      <alignment horizontal="center" vertical="center" readingOrder="2"/>
    </xf>
    <xf numFmtId="3" fontId="11" fillId="10" borderId="35" xfId="3" applyNumberFormat="1" applyFont="1" applyFill="1" applyBorder="1" applyAlignment="1">
      <alignment horizontal="center" vertical="center" readingOrder="2"/>
    </xf>
    <xf numFmtId="3" fontId="11" fillId="10" borderId="74" xfId="3" applyNumberFormat="1" applyFont="1" applyFill="1" applyBorder="1" applyAlignment="1">
      <alignment horizontal="center" vertical="center" readingOrder="2"/>
    </xf>
    <xf numFmtId="3" fontId="11" fillId="10" borderId="79" xfId="3" applyNumberFormat="1" applyFont="1" applyFill="1" applyBorder="1" applyAlignment="1">
      <alignment horizontal="center" vertical="center" readingOrder="2"/>
    </xf>
    <xf numFmtId="3" fontId="11" fillId="10" borderId="17" xfId="3" applyNumberFormat="1" applyFont="1" applyFill="1" applyBorder="1" applyAlignment="1">
      <alignment horizontal="center" vertical="center" readingOrder="2"/>
    </xf>
    <xf numFmtId="3" fontId="11" fillId="10" borderId="61" xfId="3" applyNumberFormat="1" applyFont="1" applyFill="1" applyBorder="1" applyAlignment="1">
      <alignment horizontal="center" vertical="center" readingOrder="2"/>
    </xf>
    <xf numFmtId="3" fontId="11" fillId="5" borderId="51" xfId="3" applyNumberFormat="1" applyFont="1" applyFill="1" applyBorder="1" applyAlignment="1">
      <alignment horizontal="center" vertical="center" readingOrder="2"/>
    </xf>
    <xf numFmtId="3" fontId="11" fillId="5" borderId="45" xfId="3" applyNumberFormat="1" applyFont="1" applyFill="1" applyBorder="1" applyAlignment="1">
      <alignment horizontal="center" vertical="center" readingOrder="2"/>
    </xf>
    <xf numFmtId="3" fontId="11" fillId="5" borderId="38" xfId="3" applyNumberFormat="1" applyFont="1" applyFill="1" applyBorder="1" applyAlignment="1">
      <alignment horizontal="center" vertical="center" readingOrder="2"/>
    </xf>
    <xf numFmtId="3" fontId="11" fillId="5" borderId="50" xfId="3" applyNumberFormat="1" applyFont="1" applyFill="1" applyBorder="1" applyAlignment="1">
      <alignment horizontal="center" vertical="center" readingOrder="2"/>
    </xf>
    <xf numFmtId="3" fontId="11" fillId="11" borderId="40" xfId="3" applyNumberFormat="1" applyFont="1" applyFill="1" applyBorder="1" applyAlignment="1">
      <alignment horizontal="center" vertical="center" readingOrder="2"/>
    </xf>
    <xf numFmtId="0" fontId="11" fillId="7" borderId="18" xfId="3" applyFont="1" applyFill="1" applyBorder="1" applyAlignment="1">
      <alignment horizontal="center" vertical="center" readingOrder="2"/>
    </xf>
    <xf numFmtId="0" fontId="11" fillId="7" borderId="19" xfId="3" applyFont="1" applyFill="1" applyBorder="1" applyAlignment="1">
      <alignment horizontal="center" vertical="center" readingOrder="2"/>
    </xf>
    <xf numFmtId="0" fontId="11" fillId="7" borderId="20" xfId="3" applyFont="1" applyFill="1" applyBorder="1" applyAlignment="1">
      <alignment horizontal="center" vertical="center" readingOrder="2"/>
    </xf>
    <xf numFmtId="0" fontId="11" fillId="7" borderId="65" xfId="3" applyFont="1" applyFill="1" applyBorder="1" applyAlignment="1">
      <alignment horizontal="center" vertical="center" readingOrder="2"/>
    </xf>
    <xf numFmtId="0" fontId="11" fillId="7" borderId="43" xfId="3" applyFont="1" applyFill="1" applyBorder="1" applyAlignment="1">
      <alignment horizontal="center" vertical="center" readingOrder="2"/>
    </xf>
    <xf numFmtId="0" fontId="11" fillId="7" borderId="85" xfId="3" applyFont="1" applyFill="1" applyBorder="1" applyAlignment="1">
      <alignment horizontal="center" vertical="center" readingOrder="2"/>
    </xf>
    <xf numFmtId="0" fontId="11" fillId="7" borderId="86" xfId="3" applyFont="1" applyFill="1" applyBorder="1" applyAlignment="1">
      <alignment horizontal="center" vertical="center" readingOrder="2"/>
    </xf>
    <xf numFmtId="0" fontId="11" fillId="7" borderId="87" xfId="3" applyFont="1" applyFill="1" applyBorder="1" applyAlignment="1">
      <alignment horizontal="center" vertical="center" readingOrder="2"/>
    </xf>
    <xf numFmtId="0" fontId="11" fillId="3" borderId="18" xfId="3" applyFont="1" applyFill="1" applyBorder="1" applyAlignment="1">
      <alignment horizontal="center" vertical="center" wrapText="1" readingOrder="2"/>
    </xf>
    <xf numFmtId="0" fontId="11" fillId="3" borderId="19" xfId="3" applyFont="1" applyFill="1" applyBorder="1" applyAlignment="1">
      <alignment horizontal="center" vertical="center" wrapText="1" readingOrder="2"/>
    </xf>
    <xf numFmtId="0" fontId="17" fillId="4" borderId="26" xfId="1" applyFont="1" applyFill="1" applyBorder="1" applyAlignment="1">
      <alignment horizontal="center" vertical="center" wrapText="1" readingOrder="2"/>
    </xf>
    <xf numFmtId="0" fontId="17" fillId="4" borderId="1" xfId="1" applyFont="1" applyFill="1" applyBorder="1" applyAlignment="1">
      <alignment horizontal="center" vertical="center" wrapText="1" readingOrder="2"/>
    </xf>
    <xf numFmtId="0" fontId="17" fillId="8" borderId="26" xfId="1" applyFont="1" applyFill="1" applyBorder="1" applyAlignment="1">
      <alignment horizontal="center" vertical="center" wrapText="1" readingOrder="2"/>
    </xf>
    <xf numFmtId="0" fontId="17" fillId="8" borderId="1" xfId="1" applyFont="1" applyFill="1" applyBorder="1" applyAlignment="1">
      <alignment horizontal="center" vertical="center" wrapText="1" readingOrder="2"/>
    </xf>
    <xf numFmtId="0" fontId="11" fillId="12" borderId="1" xfId="1" applyFont="1" applyFill="1" applyBorder="1" applyAlignment="1">
      <alignment horizontal="center" vertical="center" wrapText="1" readingOrder="2"/>
    </xf>
    <xf numFmtId="0" fontId="11" fillId="13" borderId="1" xfId="1" applyFont="1" applyFill="1" applyBorder="1" applyAlignment="1">
      <alignment horizontal="center" vertical="center" wrapText="1" readingOrder="2"/>
    </xf>
    <xf numFmtId="3" fontId="11" fillId="0" borderId="75" xfId="3" applyNumberFormat="1" applyFont="1" applyBorder="1" applyAlignment="1">
      <alignment horizontal="center" vertical="center" readingOrder="2"/>
    </xf>
    <xf numFmtId="3" fontId="17" fillId="15" borderId="7" xfId="1" applyNumberFormat="1" applyFont="1" applyFill="1" applyBorder="1" applyAlignment="1">
      <alignment horizontal="center" vertical="center" readingOrder="2"/>
    </xf>
    <xf numFmtId="3" fontId="17" fillId="15" borderId="1" xfId="1" applyNumberFormat="1" applyFont="1" applyFill="1" applyBorder="1" applyAlignment="1">
      <alignment horizontal="center" vertical="center" readingOrder="2"/>
    </xf>
    <xf numFmtId="3" fontId="17" fillId="15" borderId="8" xfId="1" applyNumberFormat="1" applyFont="1" applyFill="1" applyBorder="1" applyAlignment="1">
      <alignment horizontal="center" vertical="center" readingOrder="2"/>
    </xf>
    <xf numFmtId="3" fontId="17" fillId="0" borderId="7" xfId="1" applyNumberFormat="1" applyFont="1" applyBorder="1" applyAlignment="1">
      <alignment horizontal="center" vertical="center" readingOrder="2"/>
    </xf>
    <xf numFmtId="3" fontId="17" fillId="0" borderId="1" xfId="1" applyNumberFormat="1" applyFont="1" applyBorder="1" applyAlignment="1">
      <alignment horizontal="center" vertical="center" readingOrder="2"/>
    </xf>
    <xf numFmtId="3" fontId="17" fillId="0" borderId="8" xfId="1" applyNumberFormat="1" applyFont="1" applyBorder="1" applyAlignment="1">
      <alignment horizontal="center" vertical="center" readingOrder="2"/>
    </xf>
    <xf numFmtId="3" fontId="17" fillId="15" borderId="11" xfId="1" applyNumberFormat="1" applyFont="1" applyFill="1" applyBorder="1" applyAlignment="1">
      <alignment horizontal="center" vertical="center" readingOrder="2"/>
    </xf>
    <xf numFmtId="3" fontId="17" fillId="15" borderId="12" xfId="1" applyNumberFormat="1" applyFont="1" applyFill="1" applyBorder="1" applyAlignment="1">
      <alignment horizontal="center" vertical="center" readingOrder="2"/>
    </xf>
    <xf numFmtId="3" fontId="17" fillId="15" borderId="47" xfId="1" applyNumberFormat="1" applyFont="1" applyFill="1" applyBorder="1" applyAlignment="1">
      <alignment horizontal="center" vertical="center" readingOrder="2"/>
    </xf>
    <xf numFmtId="3" fontId="17" fillId="3" borderId="13" xfId="1" applyNumberFormat="1" applyFont="1" applyFill="1" applyBorder="1" applyAlignment="1">
      <alignment horizontal="center" vertical="center" readingOrder="2"/>
    </xf>
    <xf numFmtId="3" fontId="17" fillId="3" borderId="14" xfId="1" applyNumberFormat="1" applyFont="1" applyFill="1" applyBorder="1" applyAlignment="1">
      <alignment horizontal="center" vertical="center" readingOrder="2"/>
    </xf>
    <xf numFmtId="3" fontId="17" fillId="3" borderId="24" xfId="1" applyNumberFormat="1" applyFont="1" applyFill="1" applyBorder="1" applyAlignment="1">
      <alignment horizontal="center" vertical="center" readingOrder="2"/>
    </xf>
    <xf numFmtId="3" fontId="17" fillId="0" borderId="5" xfId="1" applyNumberFormat="1" applyFont="1" applyBorder="1" applyAlignment="1">
      <alignment horizontal="center" vertical="center" readingOrder="2"/>
    </xf>
    <xf numFmtId="3" fontId="17" fillId="0" borderId="6" xfId="1" applyNumberFormat="1" applyFont="1" applyBorder="1" applyAlignment="1">
      <alignment horizontal="center" vertical="center" readingOrder="2"/>
    </xf>
    <xf numFmtId="3" fontId="17" fillId="0" borderId="10" xfId="1" applyNumberFormat="1" applyFont="1" applyBorder="1" applyAlignment="1">
      <alignment horizontal="center" vertical="center" readingOrder="2"/>
    </xf>
    <xf numFmtId="3" fontId="17" fillId="5" borderId="7" xfId="1" applyNumberFormat="1" applyFont="1" applyFill="1" applyBorder="1" applyAlignment="1">
      <alignment horizontal="center" vertical="center" readingOrder="2"/>
    </xf>
    <xf numFmtId="3" fontId="17" fillId="5" borderId="1" xfId="1" applyNumberFormat="1" applyFont="1" applyFill="1" applyBorder="1" applyAlignment="1">
      <alignment horizontal="center" vertical="center" readingOrder="2"/>
    </xf>
    <xf numFmtId="3" fontId="17" fillId="5" borderId="8" xfId="1" applyNumberFormat="1" applyFont="1" applyFill="1" applyBorder="1" applyAlignment="1">
      <alignment horizontal="center" vertical="center" readingOrder="2"/>
    </xf>
    <xf numFmtId="3" fontId="17" fillId="5" borderId="11" xfId="1" applyNumberFormat="1" applyFont="1" applyFill="1" applyBorder="1" applyAlignment="1">
      <alignment horizontal="center" vertical="center" readingOrder="2"/>
    </xf>
    <xf numFmtId="3" fontId="17" fillId="5" borderId="12" xfId="1" applyNumberFormat="1" applyFont="1" applyFill="1" applyBorder="1" applyAlignment="1">
      <alignment horizontal="center" vertical="center" readingOrder="2"/>
    </xf>
    <xf numFmtId="3" fontId="17" fillId="5" borderId="47" xfId="1" applyNumberFormat="1" applyFont="1" applyFill="1" applyBorder="1" applyAlignment="1">
      <alignment horizontal="center" vertical="center" readingOrder="2"/>
    </xf>
    <xf numFmtId="3" fontId="17" fillId="2" borderId="55" xfId="3" applyNumberFormat="1" applyFont="1" applyFill="1" applyBorder="1" applyAlignment="1">
      <alignment horizontal="center" vertical="center" readingOrder="2"/>
    </xf>
    <xf numFmtId="3" fontId="17" fillId="3" borderId="55" xfId="3" applyNumberFormat="1" applyFont="1" applyFill="1" applyBorder="1" applyAlignment="1">
      <alignment horizontal="center" vertical="center" readingOrder="2"/>
    </xf>
    <xf numFmtId="3" fontId="11" fillId="0" borderId="69" xfId="3" applyNumberFormat="1" applyFont="1" applyBorder="1" applyAlignment="1">
      <alignment horizontal="center" vertical="center" readingOrder="2"/>
    </xf>
    <xf numFmtId="3" fontId="11" fillId="15" borderId="75" xfId="3" applyNumberFormat="1" applyFont="1" applyFill="1" applyBorder="1" applyAlignment="1">
      <alignment horizontal="center" vertical="center" readingOrder="2"/>
    </xf>
    <xf numFmtId="0" fontId="11" fillId="15" borderId="76" xfId="3" applyFont="1" applyFill="1" applyBorder="1" applyAlignment="1">
      <alignment horizontal="center" vertical="center" readingOrder="2"/>
    </xf>
    <xf numFmtId="0" fontId="24" fillId="3" borderId="89" xfId="1" applyFont="1" applyFill="1" applyBorder="1" applyAlignment="1">
      <alignment horizontal="center" vertical="center" wrapText="1" readingOrder="2"/>
    </xf>
    <xf numFmtId="0" fontId="24" fillId="3" borderId="77" xfId="1" applyFont="1" applyFill="1" applyBorder="1" applyAlignment="1">
      <alignment horizontal="center" vertical="center" wrapText="1" readingOrder="2"/>
    </xf>
    <xf numFmtId="3" fontId="17" fillId="6" borderId="13" xfId="3" applyNumberFormat="1" applyFont="1" applyFill="1" applyBorder="1" applyAlignment="1">
      <alignment horizontal="center" vertical="center" readingOrder="2"/>
    </xf>
    <xf numFmtId="0" fontId="11" fillId="15" borderId="11" xfId="3" applyFont="1" applyFill="1" applyBorder="1" applyAlignment="1">
      <alignment horizontal="center" vertical="center" readingOrder="2"/>
    </xf>
    <xf numFmtId="0" fontId="11" fillId="6" borderId="13" xfId="3" applyFont="1" applyFill="1" applyBorder="1" applyAlignment="1">
      <alignment horizontal="center" vertical="center" readingOrder="2"/>
    </xf>
    <xf numFmtId="3" fontId="11" fillId="6" borderId="13" xfId="3" applyNumberFormat="1" applyFont="1" applyFill="1" applyBorder="1" applyAlignment="1">
      <alignment horizontal="center" vertical="center" readingOrder="2"/>
    </xf>
    <xf numFmtId="3" fontId="11" fillId="6" borderId="4" xfId="3" applyNumberFormat="1" applyFont="1" applyFill="1" applyBorder="1" applyAlignment="1">
      <alignment horizontal="center" vertical="center" readingOrder="2"/>
    </xf>
    <xf numFmtId="0" fontId="11" fillId="6" borderId="15" xfId="3" applyFont="1" applyFill="1" applyBorder="1" applyAlignment="1">
      <alignment horizontal="center" vertical="center" readingOrder="2"/>
    </xf>
    <xf numFmtId="3" fontId="11" fillId="5" borderId="83" xfId="3" applyNumberFormat="1" applyFont="1" applyFill="1" applyBorder="1" applyAlignment="1">
      <alignment horizontal="centerContinuous" vertical="center" readingOrder="2"/>
    </xf>
    <xf numFmtId="3" fontId="11" fillId="5" borderId="81" xfId="3" applyNumberFormat="1" applyFont="1" applyFill="1" applyBorder="1" applyAlignment="1">
      <alignment horizontal="centerContinuous" vertical="center" readingOrder="2"/>
    </xf>
    <xf numFmtId="3" fontId="11" fillId="0" borderId="83" xfId="3" applyNumberFormat="1" applyFont="1" applyBorder="1" applyAlignment="1">
      <alignment horizontal="centerContinuous" vertical="center" readingOrder="2"/>
    </xf>
    <xf numFmtId="3" fontId="11" fillId="0" borderId="81" xfId="3" applyNumberFormat="1" applyFont="1" applyBorder="1" applyAlignment="1">
      <alignment horizontal="centerContinuous" vertical="center" readingOrder="2"/>
    </xf>
    <xf numFmtId="3" fontId="11" fillId="0" borderId="73" xfId="3" applyNumberFormat="1" applyFont="1" applyBorder="1" applyAlignment="1">
      <alignment horizontal="center" vertical="center" readingOrder="2"/>
    </xf>
    <xf numFmtId="0" fontId="17" fillId="6" borderId="30" xfId="3" applyFont="1" applyFill="1" applyBorder="1" applyAlignment="1">
      <alignment horizontal="center" vertical="center" readingOrder="2"/>
    </xf>
    <xf numFmtId="3" fontId="11" fillId="5" borderId="9" xfId="3" applyNumberFormat="1" applyFont="1" applyFill="1" applyBorder="1" applyAlignment="1">
      <alignment horizontal="center" vertical="center" readingOrder="2"/>
    </xf>
    <xf numFmtId="0" fontId="14" fillId="10" borderId="44" xfId="3" applyFont="1" applyFill="1" applyBorder="1" applyAlignment="1">
      <alignment horizontal="center" vertical="center" readingOrder="2"/>
    </xf>
    <xf numFmtId="0" fontId="14" fillId="5" borderId="25" xfId="3" applyFont="1" applyFill="1" applyBorder="1" applyAlignment="1">
      <alignment horizontal="center" vertical="center" readingOrder="2"/>
    </xf>
    <xf numFmtId="0" fontId="14" fillId="10" borderId="25" xfId="3" applyFont="1" applyFill="1" applyBorder="1" applyAlignment="1">
      <alignment horizontal="center" vertical="center" readingOrder="2"/>
    </xf>
    <xf numFmtId="0" fontId="14" fillId="11" borderId="56" xfId="3" applyFont="1" applyFill="1" applyBorder="1" applyAlignment="1">
      <alignment horizontal="center" vertical="center" readingOrder="2"/>
    </xf>
    <xf numFmtId="3" fontId="11" fillId="5" borderId="57" xfId="3" applyNumberFormat="1" applyFont="1" applyFill="1" applyBorder="1" applyAlignment="1">
      <alignment horizontal="center" vertical="center" readingOrder="2"/>
    </xf>
    <xf numFmtId="0" fontId="17" fillId="6" borderId="90" xfId="3" applyFont="1" applyFill="1" applyBorder="1" applyAlignment="1">
      <alignment horizontal="center" vertical="center" readingOrder="2"/>
    </xf>
    <xf numFmtId="3" fontId="17" fillId="2" borderId="42" xfId="3" applyNumberFormat="1" applyFont="1" applyFill="1" applyBorder="1" applyAlignment="1">
      <alignment horizontal="center" vertical="center" readingOrder="2"/>
    </xf>
    <xf numFmtId="0" fontId="17" fillId="2" borderId="13" xfId="3" applyFont="1" applyFill="1" applyBorder="1" applyAlignment="1">
      <alignment horizontal="center" vertical="center" readingOrder="2"/>
    </xf>
    <xf numFmtId="0" fontId="17" fillId="2" borderId="42" xfId="3" applyFont="1" applyFill="1" applyBorder="1" applyAlignment="1">
      <alignment horizontal="center" vertical="center" readingOrder="2"/>
    </xf>
    <xf numFmtId="0" fontId="11" fillId="6" borderId="4" xfId="3" applyFont="1" applyFill="1" applyBorder="1" applyAlignment="1">
      <alignment horizontal="center" vertical="center" readingOrder="2"/>
    </xf>
    <xf numFmtId="0" fontId="11" fillId="15" borderId="12" xfId="3" applyFont="1" applyFill="1" applyBorder="1" applyAlignment="1">
      <alignment horizontal="center" vertical="center" readingOrder="2"/>
    </xf>
    <xf numFmtId="0" fontId="11" fillId="6" borderId="14" xfId="3" applyFont="1" applyFill="1" applyBorder="1" applyAlignment="1">
      <alignment horizontal="center" vertical="center" readingOrder="2"/>
    </xf>
    <xf numFmtId="0" fontId="17" fillId="0" borderId="16" xfId="1" applyFont="1" applyBorder="1" applyAlignment="1">
      <alignment horizontal="center" vertical="center" readingOrder="2"/>
    </xf>
    <xf numFmtId="0" fontId="17" fillId="0" borderId="59" xfId="1" applyFont="1" applyBorder="1" applyAlignment="1">
      <alignment horizontal="center" vertical="center" readingOrder="2"/>
    </xf>
    <xf numFmtId="0" fontId="17" fillId="0" borderId="73" xfId="1" applyFont="1" applyBorder="1" applyAlignment="1">
      <alignment horizontal="center" vertical="center" readingOrder="2"/>
    </xf>
    <xf numFmtId="0" fontId="17" fillId="5" borderId="83" xfId="1" applyFont="1" applyFill="1" applyBorder="1" applyAlignment="1">
      <alignment horizontal="center" vertical="center" readingOrder="2"/>
    </xf>
    <xf numFmtId="0" fontId="17" fillId="5" borderId="75" xfId="1" applyFont="1" applyFill="1" applyBorder="1" applyAlignment="1">
      <alignment horizontal="center" vertical="center" readingOrder="2"/>
    </xf>
    <xf numFmtId="0" fontId="17" fillId="0" borderId="64" xfId="1" applyFont="1" applyBorder="1" applyAlignment="1">
      <alignment horizontal="center" vertical="center" readingOrder="2"/>
    </xf>
    <xf numFmtId="0" fontId="17" fillId="0" borderId="69" xfId="1" applyFont="1" applyBorder="1" applyAlignment="1">
      <alignment horizontal="center" vertical="center" readingOrder="2"/>
    </xf>
    <xf numFmtId="0" fontId="17" fillId="5" borderId="76" xfId="1" applyFont="1" applyFill="1" applyBorder="1" applyAlignment="1">
      <alignment horizontal="center" vertical="center" readingOrder="2"/>
    </xf>
    <xf numFmtId="0" fontId="17" fillId="6" borderId="4" xfId="3" applyFont="1" applyFill="1" applyBorder="1" applyAlignment="1">
      <alignment horizontal="center" vertical="center" readingOrder="2"/>
    </xf>
    <xf numFmtId="164" fontId="17" fillId="6" borderId="24" xfId="3" applyNumberFormat="1" applyFont="1" applyFill="1" applyBorder="1" applyAlignment="1">
      <alignment horizontal="center" vertical="center" readingOrder="2"/>
    </xf>
    <xf numFmtId="0" fontId="11" fillId="3" borderId="43" xfId="3" applyFont="1" applyFill="1" applyBorder="1" applyAlignment="1">
      <alignment horizontal="center" vertical="center" wrapText="1" readingOrder="2"/>
    </xf>
    <xf numFmtId="3" fontId="11" fillId="3" borderId="55" xfId="3" applyNumberFormat="1" applyFont="1" applyFill="1" applyBorder="1" applyAlignment="1">
      <alignment horizontal="center" vertical="center" readingOrder="2"/>
    </xf>
    <xf numFmtId="0" fontId="10" fillId="3" borderId="1" xfId="1" applyFont="1" applyFill="1" applyBorder="1" applyAlignment="1">
      <alignment horizontal="center" vertical="center" wrapText="1" readingOrder="2"/>
    </xf>
    <xf numFmtId="0" fontId="10" fillId="3" borderId="7" xfId="1" applyFont="1" applyFill="1" applyBorder="1" applyAlignment="1">
      <alignment horizontal="center" vertical="center" wrapText="1" readingOrder="2"/>
    </xf>
    <xf numFmtId="0" fontId="10" fillId="3" borderId="8" xfId="1" applyFont="1" applyFill="1" applyBorder="1" applyAlignment="1">
      <alignment horizontal="center" vertical="center" wrapText="1" readingOrder="2"/>
    </xf>
    <xf numFmtId="3" fontId="11" fillId="5" borderId="25" xfId="3" applyNumberFormat="1" applyFont="1" applyFill="1" applyBorder="1" applyAlignment="1">
      <alignment horizontal="center" vertical="center" readingOrder="2"/>
    </xf>
    <xf numFmtId="3" fontId="17" fillId="5" borderId="1" xfId="1" applyNumberFormat="1" applyFont="1" applyFill="1" applyBorder="1" applyAlignment="1">
      <alignment horizontal="centerContinuous" vertical="center" readingOrder="2"/>
    </xf>
    <xf numFmtId="3" fontId="17" fillId="0" borderId="1" xfId="1" applyNumberFormat="1" applyFont="1" applyBorder="1" applyAlignment="1">
      <alignment horizontal="centerContinuous" vertical="center" readingOrder="2"/>
    </xf>
    <xf numFmtId="3" fontId="17" fillId="5" borderId="7" xfId="1" applyNumberFormat="1" applyFont="1" applyFill="1" applyBorder="1" applyAlignment="1">
      <alignment horizontal="centerContinuous" vertical="center" readingOrder="2"/>
    </xf>
    <xf numFmtId="3" fontId="17" fillId="5" borderId="8" xfId="1" applyNumberFormat="1" applyFont="1" applyFill="1" applyBorder="1" applyAlignment="1">
      <alignment horizontal="centerContinuous" vertical="center" readingOrder="2"/>
    </xf>
    <xf numFmtId="3" fontId="17" fillId="0" borderId="7" xfId="1" applyNumberFormat="1" applyFont="1" applyBorder="1" applyAlignment="1">
      <alignment horizontal="centerContinuous" vertical="center" readingOrder="2"/>
    </xf>
    <xf numFmtId="3" fontId="17" fillId="0" borderId="8" xfId="1" applyNumberFormat="1" applyFont="1" applyBorder="1" applyAlignment="1">
      <alignment horizontal="centerContinuous" vertical="center" readingOrder="2"/>
    </xf>
    <xf numFmtId="3" fontId="17" fillId="3" borderId="4" xfId="3" applyNumberFormat="1" applyFont="1" applyFill="1" applyBorder="1" applyAlignment="1">
      <alignment horizontal="center" vertical="center" readingOrder="2"/>
    </xf>
    <xf numFmtId="3" fontId="11" fillId="0" borderId="48" xfId="3" applyNumberFormat="1" applyFont="1" applyBorder="1" applyAlignment="1">
      <alignment horizontal="center" vertical="center" readingOrder="2"/>
    </xf>
    <xf numFmtId="3" fontId="11" fillId="5" borderId="81" xfId="3" applyNumberFormat="1" applyFont="1" applyFill="1" applyBorder="1" applyAlignment="1">
      <alignment horizontal="center" vertical="center" readingOrder="2"/>
    </xf>
    <xf numFmtId="3" fontId="11" fillId="0" borderId="27" xfId="3" applyNumberFormat="1" applyFont="1" applyBorder="1" applyAlignment="1">
      <alignment horizontal="center" vertical="center" readingOrder="2"/>
    </xf>
    <xf numFmtId="3" fontId="11" fillId="11" borderId="81" xfId="3" applyNumberFormat="1" applyFont="1" applyFill="1" applyBorder="1" applyAlignment="1">
      <alignment horizontal="center" vertical="center" readingOrder="2"/>
    </xf>
    <xf numFmtId="3" fontId="11" fillId="5" borderId="33" xfId="3" applyNumberFormat="1" applyFont="1" applyFill="1" applyBorder="1" applyAlignment="1">
      <alignment horizontal="center" vertical="center" readingOrder="2"/>
    </xf>
    <xf numFmtId="3" fontId="11" fillId="5" borderId="69" xfId="3" applyNumberFormat="1" applyFont="1" applyFill="1" applyBorder="1" applyAlignment="1">
      <alignment horizontal="center" vertical="center" readingOrder="2"/>
    </xf>
    <xf numFmtId="3" fontId="11" fillId="10" borderId="69" xfId="3" applyNumberFormat="1" applyFont="1" applyFill="1" applyBorder="1" applyAlignment="1">
      <alignment horizontal="center" vertical="center" readingOrder="2"/>
    </xf>
    <xf numFmtId="3" fontId="11" fillId="5" borderId="72" xfId="3" applyNumberFormat="1" applyFont="1" applyFill="1" applyBorder="1" applyAlignment="1">
      <alignment horizontal="center" vertical="center" readingOrder="2"/>
    </xf>
    <xf numFmtId="3" fontId="17" fillId="7" borderId="31" xfId="3" applyNumberFormat="1" applyFont="1" applyFill="1" applyBorder="1" applyAlignment="1">
      <alignment horizontal="center" vertical="center" readingOrder="2"/>
    </xf>
    <xf numFmtId="3" fontId="17" fillId="6" borderId="53" xfId="3" applyNumberFormat="1" applyFont="1" applyFill="1" applyBorder="1" applyAlignment="1">
      <alignment horizontal="center" vertical="center" readingOrder="2"/>
    </xf>
    <xf numFmtId="3" fontId="17" fillId="7" borderId="54" xfId="3" applyNumberFormat="1" applyFont="1" applyFill="1" applyBorder="1" applyAlignment="1">
      <alignment horizontal="center" vertical="center" readingOrder="2"/>
    </xf>
    <xf numFmtId="3" fontId="17" fillId="6" borderId="52" xfId="3" applyNumberFormat="1" applyFont="1" applyFill="1" applyBorder="1" applyAlignment="1">
      <alignment horizontal="center" vertical="center" readingOrder="2"/>
    </xf>
    <xf numFmtId="3" fontId="17" fillId="7" borderId="90" xfId="3" applyNumberFormat="1" applyFont="1" applyFill="1" applyBorder="1" applyAlignment="1">
      <alignment horizontal="center" vertical="center" readingOrder="2"/>
    </xf>
    <xf numFmtId="3" fontId="11" fillId="0" borderId="11" xfId="3" applyNumberFormat="1" applyFont="1" applyBorder="1" applyAlignment="1">
      <alignment horizontal="center" vertical="center" readingOrder="2"/>
    </xf>
    <xf numFmtId="3" fontId="11" fillId="0" borderId="12" xfId="3" applyNumberFormat="1" applyFont="1" applyBorder="1" applyAlignment="1">
      <alignment horizontal="center" vertical="center" readingOrder="2"/>
    </xf>
    <xf numFmtId="3" fontId="11" fillId="0" borderId="32" xfId="3" applyNumberFormat="1" applyFont="1" applyBorder="1" applyAlignment="1">
      <alignment horizontal="center" vertical="center" readingOrder="2"/>
    </xf>
    <xf numFmtId="3" fontId="11" fillId="0" borderId="47" xfId="3" applyNumberFormat="1" applyFont="1" applyBorder="1" applyAlignment="1">
      <alignment horizontal="center" vertical="center" readingOrder="2"/>
    </xf>
    <xf numFmtId="3" fontId="11" fillId="0" borderId="34" xfId="3" applyNumberFormat="1" applyFont="1" applyBorder="1" applyAlignment="1">
      <alignment horizontal="center" vertical="center" readingOrder="2"/>
    </xf>
    <xf numFmtId="3" fontId="11" fillId="5" borderId="28" xfId="3" applyNumberFormat="1" applyFont="1" applyFill="1" applyBorder="1" applyAlignment="1">
      <alignment horizontal="center" vertical="center" readingOrder="2"/>
    </xf>
    <xf numFmtId="3" fontId="11" fillId="5" borderId="36" xfId="3" applyNumberFormat="1" applyFont="1" applyFill="1" applyBorder="1" applyAlignment="1">
      <alignment horizontal="center" vertical="center" readingOrder="2"/>
    </xf>
    <xf numFmtId="3" fontId="11" fillId="5" borderId="56" xfId="3" applyNumberFormat="1" applyFont="1" applyFill="1" applyBorder="1" applyAlignment="1">
      <alignment horizontal="center" vertical="center" readingOrder="2"/>
    </xf>
    <xf numFmtId="0" fontId="17" fillId="0" borderId="2" xfId="1" applyFont="1" applyBorder="1" applyAlignment="1">
      <alignment horizontal="center" vertical="center" wrapText="1"/>
    </xf>
    <xf numFmtId="0" fontId="17" fillId="0" borderId="3" xfId="1" applyFont="1" applyBorder="1" applyAlignment="1">
      <alignment horizontal="center" vertical="center" wrapText="1"/>
    </xf>
    <xf numFmtId="0" fontId="17" fillId="0" borderId="4" xfId="1" applyFont="1" applyBorder="1" applyAlignment="1">
      <alignment horizontal="center" vertical="center" wrapText="1"/>
    </xf>
    <xf numFmtId="3" fontId="11" fillId="10" borderId="2" xfId="2" applyNumberFormat="1" applyFont="1" applyFill="1" applyBorder="1" applyAlignment="1">
      <alignment horizontal="center" vertical="center" readingOrder="2"/>
    </xf>
    <xf numFmtId="3" fontId="11" fillId="10" borderId="3" xfId="2" applyNumberFormat="1" applyFont="1" applyFill="1" applyBorder="1" applyAlignment="1">
      <alignment horizontal="center" vertical="center" readingOrder="2"/>
    </xf>
    <xf numFmtId="3" fontId="11" fillId="10" borderId="4" xfId="2" applyNumberFormat="1" applyFont="1" applyFill="1" applyBorder="1" applyAlignment="1">
      <alignment horizontal="center" vertical="center" readingOrder="2"/>
    </xf>
    <xf numFmtId="0" fontId="14" fillId="14" borderId="39" xfId="1" applyFont="1" applyFill="1" applyBorder="1" applyAlignment="1">
      <alignment horizontal="center" vertical="center" textRotation="90" wrapText="1" readingOrder="2"/>
    </xf>
    <xf numFmtId="0" fontId="14" fillId="14" borderId="40" xfId="1" applyFont="1" applyFill="1" applyBorder="1" applyAlignment="1">
      <alignment horizontal="center" vertical="center" textRotation="90" wrapText="1" readingOrder="2"/>
    </xf>
    <xf numFmtId="0" fontId="14" fillId="14" borderId="41" xfId="1" applyFont="1" applyFill="1" applyBorder="1" applyAlignment="1">
      <alignment horizontal="center" vertical="center" textRotation="90" wrapText="1" readingOrder="2"/>
    </xf>
    <xf numFmtId="0" fontId="17" fillId="4" borderId="2" xfId="1" applyFont="1" applyFill="1" applyBorder="1" applyAlignment="1">
      <alignment horizontal="center" vertical="center" wrapText="1" readingOrder="2"/>
    </xf>
    <xf numFmtId="0" fontId="17" fillId="4" borderId="3" xfId="1" applyFont="1" applyFill="1" applyBorder="1" applyAlignment="1">
      <alignment horizontal="center" vertical="center" wrapText="1" readingOrder="2"/>
    </xf>
    <xf numFmtId="0" fontId="17" fillId="4" borderId="4" xfId="1" applyFont="1" applyFill="1" applyBorder="1" applyAlignment="1">
      <alignment horizontal="center" vertical="center" wrapText="1" readingOrder="2"/>
    </xf>
    <xf numFmtId="0" fontId="11" fillId="12" borderId="58" xfId="1" applyFont="1" applyFill="1" applyBorder="1" applyAlignment="1">
      <alignment horizontal="center" vertical="center" wrapText="1" readingOrder="2"/>
    </xf>
    <xf numFmtId="0" fontId="11" fillId="12" borderId="51" xfId="1" applyFont="1" applyFill="1" applyBorder="1" applyAlignment="1">
      <alignment horizontal="center" vertical="center" wrapText="1" readingOrder="2"/>
    </xf>
    <xf numFmtId="0" fontId="11" fillId="12" borderId="66" xfId="1" applyFont="1" applyFill="1" applyBorder="1" applyAlignment="1">
      <alignment horizontal="center" vertical="center" wrapText="1" readingOrder="2"/>
    </xf>
    <xf numFmtId="0" fontId="11" fillId="13" borderId="46" xfId="1" applyFont="1" applyFill="1" applyBorder="1" applyAlignment="1">
      <alignment horizontal="center" vertical="center" readingOrder="2"/>
    </xf>
    <xf numFmtId="0" fontId="11" fillId="13" borderId="22" xfId="1" applyFont="1" applyFill="1" applyBorder="1" applyAlignment="1">
      <alignment horizontal="center" vertical="center" readingOrder="2"/>
    </xf>
    <xf numFmtId="0" fontId="11" fillId="13" borderId="63" xfId="1" applyFont="1" applyFill="1" applyBorder="1" applyAlignment="1">
      <alignment horizontal="center" vertical="center" readingOrder="2"/>
    </xf>
    <xf numFmtId="0" fontId="11" fillId="13" borderId="64" xfId="1" applyFont="1" applyFill="1" applyBorder="1" applyAlignment="1">
      <alignment horizontal="center" vertical="center" readingOrder="2"/>
    </xf>
    <xf numFmtId="0" fontId="11" fillId="13" borderId="27" xfId="1" applyFont="1" applyFill="1" applyBorder="1" applyAlignment="1">
      <alignment horizontal="center" vertical="center" readingOrder="2"/>
    </xf>
    <xf numFmtId="0" fontId="11" fillId="13" borderId="35" xfId="1" applyFont="1" applyFill="1" applyBorder="1" applyAlignment="1">
      <alignment horizontal="center" vertical="center" readingOrder="2"/>
    </xf>
    <xf numFmtId="0" fontId="11" fillId="0" borderId="2" xfId="1" applyFont="1" applyBorder="1" applyAlignment="1">
      <alignment horizontal="center" vertical="center" wrapText="1" readingOrder="2"/>
    </xf>
    <xf numFmtId="0" fontId="11" fillId="0" borderId="3" xfId="1" applyFont="1" applyBorder="1" applyAlignment="1">
      <alignment horizontal="center" vertical="center" wrapText="1" readingOrder="2"/>
    </xf>
    <xf numFmtId="0" fontId="17" fillId="2" borderId="2" xfId="1" applyFont="1" applyFill="1" applyBorder="1" applyAlignment="1">
      <alignment horizontal="center" vertical="center" wrapText="1" readingOrder="2"/>
    </xf>
    <xf numFmtId="0" fontId="17" fillId="2" borderId="3" xfId="1" applyFont="1" applyFill="1" applyBorder="1" applyAlignment="1">
      <alignment horizontal="center" vertical="center" wrapText="1" readingOrder="2"/>
    </xf>
    <xf numFmtId="3" fontId="14" fillId="10" borderId="2" xfId="1" applyNumberFormat="1" applyFont="1" applyFill="1" applyBorder="1" applyAlignment="1">
      <alignment horizontal="center" vertical="center" readingOrder="2"/>
    </xf>
    <xf numFmtId="3" fontId="14" fillId="10" borderId="4" xfId="1" applyNumberFormat="1" applyFont="1" applyFill="1" applyBorder="1" applyAlignment="1">
      <alignment horizontal="center" vertical="center" readingOrder="2"/>
    </xf>
    <xf numFmtId="0" fontId="14" fillId="0" borderId="2" xfId="1" applyFont="1" applyBorder="1" applyAlignment="1">
      <alignment horizontal="center" vertical="center" wrapText="1" readingOrder="2"/>
    </xf>
    <xf numFmtId="0" fontId="14" fillId="0" borderId="3" xfId="1" applyFont="1" applyBorder="1" applyAlignment="1">
      <alignment horizontal="center" vertical="center" wrapText="1" readingOrder="2"/>
    </xf>
    <xf numFmtId="0" fontId="14" fillId="0" borderId="4" xfId="1" applyFont="1" applyBorder="1" applyAlignment="1">
      <alignment horizontal="center" vertical="center" wrapText="1" readingOrder="2"/>
    </xf>
    <xf numFmtId="3" fontId="19" fillId="10" borderId="2" xfId="1" applyNumberFormat="1" applyFont="1" applyFill="1" applyBorder="1" applyAlignment="1">
      <alignment horizontal="center" vertical="center" readingOrder="2"/>
    </xf>
    <xf numFmtId="3" fontId="19" fillId="10" borderId="3" xfId="1" applyNumberFormat="1" applyFont="1" applyFill="1" applyBorder="1" applyAlignment="1">
      <alignment horizontal="center" vertical="center" readingOrder="2"/>
    </xf>
    <xf numFmtId="3" fontId="19" fillId="10" borderId="4" xfId="1" applyNumberFormat="1" applyFont="1" applyFill="1" applyBorder="1" applyAlignment="1">
      <alignment horizontal="center" vertical="center" readingOrder="2"/>
    </xf>
    <xf numFmtId="0" fontId="11" fillId="4" borderId="58" xfId="1" applyFont="1" applyFill="1" applyBorder="1" applyAlignment="1">
      <alignment horizontal="center" vertical="center" wrapText="1" readingOrder="2"/>
    </xf>
    <xf numFmtId="0" fontId="11" fillId="4" borderId="51" xfId="1" applyFont="1" applyFill="1" applyBorder="1" applyAlignment="1">
      <alignment horizontal="center" vertical="center" wrapText="1" readingOrder="2"/>
    </xf>
    <xf numFmtId="0" fontId="11" fillId="4" borderId="66" xfId="1" applyFont="1" applyFill="1" applyBorder="1" applyAlignment="1">
      <alignment horizontal="center" vertical="center" wrapText="1" readingOrder="2"/>
    </xf>
    <xf numFmtId="0" fontId="11" fillId="4" borderId="44" xfId="1" applyFont="1" applyFill="1" applyBorder="1" applyAlignment="1">
      <alignment horizontal="center" vertical="center" wrapText="1" readingOrder="2"/>
    </xf>
    <xf numFmtId="0" fontId="11" fillId="4" borderId="48" xfId="1" applyFont="1" applyFill="1" applyBorder="1" applyAlignment="1">
      <alignment horizontal="center" vertical="center" wrapText="1" readingOrder="2"/>
    </xf>
    <xf numFmtId="0" fontId="11" fillId="7" borderId="84" xfId="1" applyFont="1" applyFill="1" applyBorder="1" applyAlignment="1">
      <alignment horizontal="center" vertical="center" wrapText="1" readingOrder="2"/>
    </xf>
    <xf numFmtId="0" fontId="11" fillId="7" borderId="33" xfId="1" applyFont="1" applyFill="1" applyBorder="1" applyAlignment="1">
      <alignment horizontal="center" vertical="center" wrapText="1" readingOrder="2"/>
    </xf>
    <xf numFmtId="0" fontId="11" fillId="7" borderId="76" xfId="1" applyFont="1" applyFill="1" applyBorder="1" applyAlignment="1">
      <alignment horizontal="center" vertical="center" wrapText="1" readingOrder="2"/>
    </xf>
    <xf numFmtId="0" fontId="11" fillId="7" borderId="64" xfId="1" applyFont="1" applyFill="1" applyBorder="1" applyAlignment="1">
      <alignment horizontal="center" vertical="center" wrapText="1" readingOrder="2"/>
    </xf>
    <xf numFmtId="0" fontId="11" fillId="7" borderId="27" xfId="1" applyFont="1" applyFill="1" applyBorder="1" applyAlignment="1">
      <alignment horizontal="center" vertical="center" wrapText="1" readingOrder="2"/>
    </xf>
    <xf numFmtId="0" fontId="11" fillId="7" borderId="69" xfId="1" applyFont="1" applyFill="1" applyBorder="1" applyAlignment="1">
      <alignment horizontal="center" vertical="center" wrapText="1" readingOrder="2"/>
    </xf>
    <xf numFmtId="0" fontId="5" fillId="0" borderId="46" xfId="1" applyFont="1" applyBorder="1" applyAlignment="1">
      <alignment horizontal="center"/>
    </xf>
    <xf numFmtId="0" fontId="5" fillId="0" borderId="22" xfId="1" applyFont="1" applyBorder="1" applyAlignment="1">
      <alignment horizontal="center"/>
    </xf>
    <xf numFmtId="0" fontId="5" fillId="0" borderId="23" xfId="1" applyFont="1" applyBorder="1" applyAlignment="1">
      <alignment horizontal="center"/>
    </xf>
    <xf numFmtId="0" fontId="5" fillId="0" borderId="29" xfId="1" applyFont="1" applyBorder="1" applyAlignment="1">
      <alignment horizontal="center"/>
    </xf>
    <xf numFmtId="0" fontId="5" fillId="0" borderId="21" xfId="1" applyFont="1" applyBorder="1" applyAlignment="1">
      <alignment horizontal="center"/>
    </xf>
    <xf numFmtId="0" fontId="5" fillId="0" borderId="30" xfId="1" applyFont="1" applyBorder="1" applyAlignment="1">
      <alignment horizontal="center"/>
    </xf>
    <xf numFmtId="0" fontId="16" fillId="0" borderId="2" xfId="1" applyFont="1" applyBorder="1" applyAlignment="1">
      <alignment horizontal="center" vertical="center" wrapText="1" readingOrder="2"/>
    </xf>
    <xf numFmtId="0" fontId="16" fillId="0" borderId="3" xfId="1" applyFont="1" applyBorder="1" applyAlignment="1">
      <alignment horizontal="center" vertical="center" wrapText="1" readingOrder="2"/>
    </xf>
    <xf numFmtId="0" fontId="16" fillId="0" borderId="4" xfId="1" applyFont="1" applyBorder="1" applyAlignment="1">
      <alignment horizontal="center" vertical="center" wrapText="1" readingOrder="2"/>
    </xf>
    <xf numFmtId="0" fontId="9" fillId="0" borderId="2" xfId="1" applyFont="1" applyBorder="1" applyAlignment="1">
      <alignment horizontal="left" vertical="center" readingOrder="2"/>
    </xf>
    <xf numFmtId="0" fontId="9" fillId="0" borderId="3" xfId="1" applyFont="1" applyBorder="1" applyAlignment="1">
      <alignment horizontal="left" vertical="center" readingOrder="2"/>
    </xf>
    <xf numFmtId="0" fontId="19" fillId="0" borderId="2" xfId="1" applyFont="1" applyBorder="1" applyAlignment="1">
      <alignment horizontal="center" vertical="center" wrapText="1" readingOrder="2"/>
    </xf>
    <xf numFmtId="0" fontId="19" fillId="0" borderId="3" xfId="1" applyFont="1" applyBorder="1" applyAlignment="1">
      <alignment horizontal="center" vertical="center" wrapText="1" readingOrder="2"/>
    </xf>
    <xf numFmtId="0" fontId="19" fillId="0" borderId="4" xfId="1" applyFont="1" applyBorder="1" applyAlignment="1">
      <alignment horizontal="center" vertical="center" wrapText="1" readingOrder="2"/>
    </xf>
    <xf numFmtId="0" fontId="11" fillId="8" borderId="46" xfId="1" applyFont="1" applyFill="1" applyBorder="1" applyAlignment="1">
      <alignment horizontal="center" vertical="center" readingOrder="2"/>
    </xf>
    <xf numFmtId="0" fontId="11" fillId="8" borderId="63" xfId="1" applyFont="1" applyFill="1" applyBorder="1" applyAlignment="1">
      <alignment horizontal="center" vertical="center" readingOrder="2"/>
    </xf>
    <xf numFmtId="0" fontId="11" fillId="8" borderId="64" xfId="1" applyFont="1" applyFill="1" applyBorder="1" applyAlignment="1">
      <alignment horizontal="center" vertical="center" readingOrder="2"/>
    </xf>
    <xf numFmtId="0" fontId="11" fillId="8" borderId="35" xfId="1" applyFont="1" applyFill="1" applyBorder="1" applyAlignment="1">
      <alignment horizontal="center" vertical="center" readingOrder="2"/>
    </xf>
    <xf numFmtId="0" fontId="11" fillId="3" borderId="5" xfId="1" applyFont="1" applyFill="1" applyBorder="1" applyAlignment="1">
      <alignment horizontal="center" vertical="center" textRotation="90" readingOrder="2"/>
    </xf>
    <xf numFmtId="0" fontId="11" fillId="3" borderId="7" xfId="1" applyFont="1" applyFill="1" applyBorder="1" applyAlignment="1">
      <alignment horizontal="center" vertical="center" textRotation="90" readingOrder="2"/>
    </xf>
    <xf numFmtId="0" fontId="11" fillId="3" borderId="11" xfId="1" applyFont="1" applyFill="1" applyBorder="1" applyAlignment="1">
      <alignment horizontal="center" vertical="center" textRotation="90" readingOrder="2"/>
    </xf>
    <xf numFmtId="0" fontId="11" fillId="3" borderId="62" xfId="1" applyFont="1" applyFill="1" applyBorder="1" applyAlignment="1">
      <alignment horizontal="center" vertical="center" readingOrder="2"/>
    </xf>
    <xf numFmtId="0" fontId="11" fillId="3" borderId="22" xfId="1" applyFont="1" applyFill="1" applyBorder="1" applyAlignment="1">
      <alignment horizontal="center" vertical="center" readingOrder="2"/>
    </xf>
    <xf numFmtId="0" fontId="11" fillId="3" borderId="48" xfId="1" applyFont="1" applyFill="1" applyBorder="1" applyAlignment="1">
      <alignment horizontal="center" vertical="center" readingOrder="2"/>
    </xf>
    <xf numFmtId="0" fontId="11" fillId="4" borderId="46" xfId="1" applyFont="1" applyFill="1" applyBorder="1" applyAlignment="1">
      <alignment horizontal="center" vertical="center" readingOrder="2"/>
    </xf>
    <xf numFmtId="0" fontId="11" fillId="4" borderId="22" xfId="1" applyFont="1" applyFill="1" applyBorder="1" applyAlignment="1">
      <alignment horizontal="center" vertical="center" readingOrder="2"/>
    </xf>
    <xf numFmtId="0" fontId="11" fillId="4" borderId="23" xfId="1" applyFont="1" applyFill="1" applyBorder="1" applyAlignment="1">
      <alignment horizontal="center" vertical="center" readingOrder="2"/>
    </xf>
    <xf numFmtId="0" fontId="11" fillId="4" borderId="64" xfId="1" applyFont="1" applyFill="1" applyBorder="1" applyAlignment="1">
      <alignment horizontal="center" vertical="center" readingOrder="2"/>
    </xf>
    <xf numFmtId="0" fontId="11" fillId="4" borderId="27" xfId="1" applyFont="1" applyFill="1" applyBorder="1" applyAlignment="1">
      <alignment horizontal="center" vertical="center" readingOrder="2"/>
    </xf>
    <xf numFmtId="0" fontId="11" fillId="4" borderId="69" xfId="1" applyFont="1" applyFill="1" applyBorder="1" applyAlignment="1">
      <alignment horizontal="center" vertical="center" readingOrder="2"/>
    </xf>
    <xf numFmtId="0" fontId="11" fillId="13" borderId="58" xfId="1" applyFont="1" applyFill="1" applyBorder="1" applyAlignment="1">
      <alignment horizontal="center" vertical="center" wrapText="1" readingOrder="2"/>
    </xf>
    <xf numFmtId="0" fontId="11" fillId="13" borderId="51" xfId="1" applyFont="1" applyFill="1" applyBorder="1" applyAlignment="1">
      <alignment horizontal="center" vertical="center" wrapText="1" readingOrder="2"/>
    </xf>
    <xf numFmtId="0" fontId="11" fillId="13" borderId="66" xfId="1" applyFont="1" applyFill="1" applyBorder="1" applyAlignment="1">
      <alignment horizontal="center" vertical="center" wrapText="1" readingOrder="2"/>
    </xf>
    <xf numFmtId="0" fontId="11" fillId="13" borderId="39" xfId="1" applyFont="1" applyFill="1" applyBorder="1" applyAlignment="1">
      <alignment horizontal="center" vertical="center" wrapText="1" readingOrder="2"/>
    </xf>
    <xf numFmtId="0" fontId="11" fillId="13" borderId="40" xfId="1" applyFont="1" applyFill="1" applyBorder="1" applyAlignment="1">
      <alignment horizontal="center" vertical="center" wrapText="1" readingOrder="2"/>
    </xf>
    <xf numFmtId="0" fontId="11" fillId="13" borderId="68" xfId="1" applyFont="1" applyFill="1" applyBorder="1" applyAlignment="1">
      <alignment horizontal="center" vertical="center" wrapText="1" readingOrder="2"/>
    </xf>
    <xf numFmtId="0" fontId="10" fillId="8" borderId="10" xfId="1" applyFont="1" applyFill="1" applyBorder="1" applyAlignment="1">
      <alignment horizontal="center" vertical="center" wrapText="1" readingOrder="2"/>
    </xf>
    <xf numFmtId="0" fontId="10" fillId="8" borderId="47" xfId="1" applyFont="1" applyFill="1" applyBorder="1" applyAlignment="1">
      <alignment horizontal="center" vertical="center" wrapText="1" readingOrder="2"/>
    </xf>
    <xf numFmtId="0" fontId="10" fillId="8" borderId="20" xfId="1" applyFont="1" applyFill="1" applyBorder="1" applyAlignment="1">
      <alignment horizontal="center" vertical="center" wrapText="1" readingOrder="2"/>
    </xf>
    <xf numFmtId="0" fontId="14" fillId="9" borderId="2" xfId="1" applyFont="1" applyFill="1" applyBorder="1" applyAlignment="1">
      <alignment horizontal="center" vertical="center" wrapText="1" readingOrder="2"/>
    </xf>
    <xf numFmtId="0" fontId="14" fillId="9" borderId="3" xfId="1" applyFont="1" applyFill="1" applyBorder="1" applyAlignment="1">
      <alignment horizontal="center" vertical="center" wrapText="1" readingOrder="2"/>
    </xf>
    <xf numFmtId="0" fontId="14" fillId="9" borderId="4" xfId="1" applyFont="1" applyFill="1" applyBorder="1" applyAlignment="1">
      <alignment horizontal="center" vertical="center" wrapText="1" readingOrder="2"/>
    </xf>
    <xf numFmtId="3" fontId="19" fillId="0" borderId="2" xfId="1" applyNumberFormat="1" applyFont="1" applyBorder="1" applyAlignment="1">
      <alignment horizontal="center" vertical="center" wrapText="1" readingOrder="2"/>
    </xf>
    <xf numFmtId="3" fontId="19" fillId="0" borderId="3" xfId="1" applyNumberFormat="1" applyFont="1" applyBorder="1" applyAlignment="1">
      <alignment horizontal="center" vertical="center" wrapText="1" readingOrder="2"/>
    </xf>
    <xf numFmtId="3" fontId="19" fillId="0" borderId="4" xfId="1" applyNumberFormat="1" applyFont="1" applyBorder="1" applyAlignment="1">
      <alignment horizontal="center" vertical="center" wrapText="1" readingOrder="2"/>
    </xf>
    <xf numFmtId="0" fontId="17" fillId="8" borderId="2" xfId="1" applyFont="1" applyFill="1" applyBorder="1" applyAlignment="1">
      <alignment horizontal="center" vertical="center" wrapText="1" readingOrder="2"/>
    </xf>
    <xf numFmtId="0" fontId="17" fillId="8" borderId="3" xfId="1" applyFont="1" applyFill="1" applyBorder="1" applyAlignment="1">
      <alignment horizontal="center" vertical="center" wrapText="1" readingOrder="2"/>
    </xf>
    <xf numFmtId="0" fontId="17" fillId="8" borderId="4" xfId="1" applyFont="1" applyFill="1" applyBorder="1" applyAlignment="1">
      <alignment horizontal="center" vertical="center" wrapText="1" readingOrder="2"/>
    </xf>
    <xf numFmtId="3" fontId="14" fillId="0" borderId="2" xfId="1" applyNumberFormat="1" applyFont="1" applyBorder="1" applyAlignment="1">
      <alignment horizontal="center" vertical="center" wrapText="1" readingOrder="2"/>
    </xf>
    <xf numFmtId="3" fontId="14" fillId="0" borderId="4" xfId="1" applyNumberFormat="1" applyFont="1" applyBorder="1" applyAlignment="1">
      <alignment horizontal="center" vertical="center" wrapText="1" readingOrder="2"/>
    </xf>
    <xf numFmtId="0" fontId="20" fillId="0" borderId="2" xfId="1" applyFont="1" applyBorder="1" applyAlignment="1">
      <alignment horizontal="center" vertical="center" readingOrder="2"/>
    </xf>
    <xf numFmtId="0" fontId="20" fillId="0" borderId="4" xfId="1" applyFont="1" applyBorder="1" applyAlignment="1">
      <alignment horizontal="center" vertical="center" readingOrder="2"/>
    </xf>
    <xf numFmtId="0" fontId="11" fillId="8" borderId="46" xfId="1" applyFont="1" applyFill="1" applyBorder="1" applyAlignment="1">
      <alignment horizontal="center" vertical="center" wrapText="1" readingOrder="2"/>
    </xf>
    <xf numFmtId="0" fontId="11" fillId="8" borderId="22" xfId="1" applyFont="1" applyFill="1" applyBorder="1" applyAlignment="1">
      <alignment horizontal="center" vertical="center" wrapText="1" readingOrder="2"/>
    </xf>
    <xf numFmtId="0" fontId="11" fillId="8" borderId="63" xfId="1" applyFont="1" applyFill="1" applyBorder="1" applyAlignment="1">
      <alignment horizontal="center" vertical="center" wrapText="1" readingOrder="2"/>
    </xf>
    <xf numFmtId="0" fontId="11" fillId="8" borderId="64" xfId="1" applyFont="1" applyFill="1" applyBorder="1" applyAlignment="1">
      <alignment horizontal="center" vertical="center" wrapText="1" readingOrder="2"/>
    </xf>
    <xf numFmtId="0" fontId="11" fillId="8" borderId="27" xfId="1" applyFont="1" applyFill="1" applyBorder="1" applyAlignment="1">
      <alignment horizontal="center" vertical="center" wrapText="1" readingOrder="2"/>
    </xf>
    <xf numFmtId="0" fontId="11" fillId="8" borderId="35" xfId="1" applyFont="1" applyFill="1" applyBorder="1" applyAlignment="1">
      <alignment horizontal="center" vertical="center" wrapText="1" readingOrder="2"/>
    </xf>
    <xf numFmtId="0" fontId="11" fillId="8" borderId="62" xfId="1" applyFont="1" applyFill="1" applyBorder="1" applyAlignment="1">
      <alignment horizontal="center" vertical="center" wrapText="1" readingOrder="2"/>
    </xf>
    <xf numFmtId="0" fontId="11" fillId="8" borderId="58" xfId="1" applyFont="1" applyFill="1" applyBorder="1" applyAlignment="1">
      <alignment horizontal="center" vertical="center" wrapText="1" readingOrder="2"/>
    </xf>
    <xf numFmtId="0" fontId="11" fillId="8" borderId="51" xfId="1" applyFont="1" applyFill="1" applyBorder="1" applyAlignment="1">
      <alignment horizontal="center" vertical="center" wrapText="1" readingOrder="2"/>
    </xf>
    <xf numFmtId="0" fontId="11" fillId="8" borderId="66" xfId="1" applyFont="1" applyFill="1" applyBorder="1" applyAlignment="1">
      <alignment horizontal="center" vertical="center" wrapText="1" readingOrder="2"/>
    </xf>
    <xf numFmtId="0" fontId="11" fillId="13" borderId="44" xfId="1" applyFont="1" applyFill="1" applyBorder="1" applyAlignment="1">
      <alignment horizontal="center" vertical="center" wrapText="1" readingOrder="2"/>
    </xf>
    <xf numFmtId="0" fontId="11" fillId="13" borderId="48" xfId="1" applyFont="1" applyFill="1" applyBorder="1" applyAlignment="1">
      <alignment horizontal="center" vertical="center" wrapText="1" readingOrder="2"/>
    </xf>
    <xf numFmtId="0" fontId="11" fillId="12" borderId="46" xfId="1" applyFont="1" applyFill="1" applyBorder="1" applyAlignment="1">
      <alignment horizontal="center" vertical="center" readingOrder="2"/>
    </xf>
    <xf numFmtId="0" fontId="11" fillId="12" borderId="22" xfId="1" applyFont="1" applyFill="1" applyBorder="1" applyAlignment="1">
      <alignment horizontal="center" vertical="center" readingOrder="2"/>
    </xf>
    <xf numFmtId="0" fontId="11" fillId="12" borderId="63" xfId="1" applyFont="1" applyFill="1" applyBorder="1" applyAlignment="1">
      <alignment horizontal="center" vertical="center" readingOrder="2"/>
    </xf>
    <xf numFmtId="0" fontId="11" fillId="12" borderId="64" xfId="1" applyFont="1" applyFill="1" applyBorder="1" applyAlignment="1">
      <alignment horizontal="center" vertical="center" readingOrder="2"/>
    </xf>
    <xf numFmtId="0" fontId="11" fillId="12" borderId="27" xfId="1" applyFont="1" applyFill="1" applyBorder="1" applyAlignment="1">
      <alignment horizontal="center" vertical="center" readingOrder="2"/>
    </xf>
    <xf numFmtId="0" fontId="11" fillId="12" borderId="35" xfId="1" applyFont="1" applyFill="1" applyBorder="1" applyAlignment="1">
      <alignment horizontal="center" vertical="center" readingOrder="2"/>
    </xf>
    <xf numFmtId="0" fontId="11" fillId="12" borderId="44" xfId="1" applyFont="1" applyFill="1" applyBorder="1" applyAlignment="1">
      <alignment horizontal="center" vertical="center" wrapText="1" readingOrder="2"/>
    </xf>
    <xf numFmtId="0" fontId="11" fillId="12" borderId="48" xfId="1" applyFont="1" applyFill="1" applyBorder="1" applyAlignment="1">
      <alignment horizontal="center" vertical="center" wrapText="1" readingOrder="2"/>
    </xf>
    <xf numFmtId="0" fontId="11" fillId="3" borderId="18" xfId="1" applyFont="1" applyFill="1" applyBorder="1" applyAlignment="1">
      <alignment horizontal="center" vertical="center" textRotation="90" readingOrder="2"/>
    </xf>
    <xf numFmtId="0" fontId="11" fillId="3" borderId="6" xfId="1" applyFont="1" applyFill="1" applyBorder="1" applyAlignment="1">
      <alignment horizontal="center" vertical="center" readingOrder="2"/>
    </xf>
    <xf numFmtId="0" fontId="11" fillId="3" borderId="1" xfId="1" applyFont="1" applyFill="1" applyBorder="1" applyAlignment="1">
      <alignment horizontal="center" vertical="center" readingOrder="2"/>
    </xf>
    <xf numFmtId="0" fontId="11" fillId="3" borderId="12" xfId="1" applyFont="1" applyFill="1" applyBorder="1" applyAlignment="1">
      <alignment horizontal="center" vertical="center" readingOrder="2"/>
    </xf>
    <xf numFmtId="0" fontId="11" fillId="3" borderId="19" xfId="1" applyFont="1" applyFill="1" applyBorder="1" applyAlignment="1">
      <alignment horizontal="center" vertical="center" readingOrder="2"/>
    </xf>
    <xf numFmtId="0" fontId="11" fillId="3" borderId="44" xfId="1" applyFont="1" applyFill="1" applyBorder="1" applyAlignment="1">
      <alignment horizontal="center" vertical="center" readingOrder="2"/>
    </xf>
    <xf numFmtId="0" fontId="11" fillId="3" borderId="25" xfId="1" applyFont="1" applyFill="1" applyBorder="1" applyAlignment="1">
      <alignment horizontal="center" vertical="center" readingOrder="2"/>
    </xf>
    <xf numFmtId="0" fontId="11" fillId="3" borderId="32" xfId="1" applyFont="1" applyFill="1" applyBorder="1" applyAlignment="1">
      <alignment horizontal="center" vertical="center" readingOrder="2"/>
    </xf>
    <xf numFmtId="0" fontId="11" fillId="3" borderId="43" xfId="1" applyFont="1" applyFill="1" applyBorder="1" applyAlignment="1">
      <alignment horizontal="center" vertical="center" readingOrder="2"/>
    </xf>
    <xf numFmtId="0" fontId="11" fillId="2" borderId="46" xfId="1" applyFont="1" applyFill="1" applyBorder="1" applyAlignment="1">
      <alignment horizontal="center" vertical="center" wrapText="1" readingOrder="2"/>
    </xf>
    <xf numFmtId="0" fontId="11" fillId="2" borderId="22" xfId="1" applyFont="1" applyFill="1" applyBorder="1" applyAlignment="1">
      <alignment horizontal="center" vertical="center" wrapText="1" readingOrder="2"/>
    </xf>
    <xf numFmtId="0" fontId="11" fillId="2" borderId="23" xfId="1" applyFont="1" applyFill="1" applyBorder="1" applyAlignment="1">
      <alignment horizontal="center" vertical="center" wrapText="1" readingOrder="2"/>
    </xf>
    <xf numFmtId="0" fontId="11" fillId="2" borderId="71" xfId="1" applyFont="1" applyFill="1" applyBorder="1" applyAlignment="1">
      <alignment horizontal="center" vertical="center" wrapText="1" readingOrder="2"/>
    </xf>
    <xf numFmtId="0" fontId="11" fillId="2" borderId="0" xfId="1" applyFont="1" applyFill="1" applyAlignment="1">
      <alignment horizontal="center" vertical="center" wrapText="1" readingOrder="2"/>
    </xf>
    <xf numFmtId="0" fontId="11" fillId="2" borderId="72" xfId="1" applyFont="1" applyFill="1" applyBorder="1" applyAlignment="1">
      <alignment horizontal="center" vertical="center" wrapText="1" readingOrder="2"/>
    </xf>
    <xf numFmtId="0" fontId="11" fillId="2" borderId="64" xfId="1" applyFont="1" applyFill="1" applyBorder="1" applyAlignment="1">
      <alignment horizontal="center" vertical="center" wrapText="1" readingOrder="2"/>
    </xf>
    <xf numFmtId="0" fontId="11" fillId="2" borderId="27" xfId="1" applyFont="1" applyFill="1" applyBorder="1" applyAlignment="1">
      <alignment horizontal="center" vertical="center" wrapText="1" readingOrder="2"/>
    </xf>
    <xf numFmtId="0" fontId="11" fillId="2" borderId="69" xfId="1" applyFont="1" applyFill="1" applyBorder="1" applyAlignment="1">
      <alignment horizontal="center" vertical="center" wrapText="1" readingOrder="2"/>
    </xf>
    <xf numFmtId="0" fontId="10" fillId="10" borderId="39" xfId="1" applyFont="1" applyFill="1" applyBorder="1" applyAlignment="1">
      <alignment horizontal="center" vertical="center" textRotation="90" wrapText="1" readingOrder="2"/>
    </xf>
    <xf numFmtId="0" fontId="10" fillId="10" borderId="40" xfId="1" applyFont="1" applyFill="1" applyBorder="1" applyAlignment="1">
      <alignment horizontal="center" vertical="center" textRotation="90" wrapText="1" readingOrder="2"/>
    </xf>
    <xf numFmtId="0" fontId="10" fillId="10" borderId="41" xfId="1" applyFont="1" applyFill="1" applyBorder="1" applyAlignment="1">
      <alignment horizontal="center" vertical="center" textRotation="90" wrapText="1" readingOrder="2"/>
    </xf>
    <xf numFmtId="0" fontId="10" fillId="10" borderId="2" xfId="1" applyFont="1" applyFill="1" applyBorder="1" applyAlignment="1">
      <alignment horizontal="center" vertical="center" wrapText="1" readingOrder="2"/>
    </xf>
    <xf numFmtId="0" fontId="10" fillId="10" borderId="3" xfId="1" applyFont="1" applyFill="1" applyBorder="1" applyAlignment="1">
      <alignment horizontal="center" vertical="center" wrapText="1" readingOrder="2"/>
    </xf>
    <xf numFmtId="0" fontId="10" fillId="10" borderId="39" xfId="1" applyFont="1" applyFill="1" applyBorder="1" applyAlignment="1">
      <alignment horizontal="center" vertical="center" textRotation="90" readingOrder="2"/>
    </xf>
    <xf numFmtId="0" fontId="10" fillId="10" borderId="40" xfId="1" applyFont="1" applyFill="1" applyBorder="1" applyAlignment="1">
      <alignment horizontal="center" vertical="center" textRotation="90" readingOrder="2"/>
    </xf>
    <xf numFmtId="0" fontId="1" fillId="0" borderId="46" xfId="3" applyBorder="1" applyAlignment="1">
      <alignment horizontal="center"/>
    </xf>
    <xf numFmtId="0" fontId="1" fillId="0" borderId="22" xfId="3" applyBorder="1" applyAlignment="1">
      <alignment horizontal="center"/>
    </xf>
    <xf numFmtId="0" fontId="1" fillId="0" borderId="23" xfId="3" applyBorder="1" applyAlignment="1">
      <alignment horizontal="center"/>
    </xf>
    <xf numFmtId="0" fontId="1" fillId="0" borderId="29" xfId="3" applyBorder="1" applyAlignment="1">
      <alignment horizontal="center"/>
    </xf>
    <xf numFmtId="0" fontId="1" fillId="0" borderId="21" xfId="3" applyBorder="1" applyAlignment="1">
      <alignment horizontal="center"/>
    </xf>
    <xf numFmtId="0" fontId="1" fillId="0" borderId="30" xfId="3" applyBorder="1" applyAlignment="1">
      <alignment horizontal="center"/>
    </xf>
    <xf numFmtId="0" fontId="20" fillId="0" borderId="3" xfId="3" applyFont="1" applyBorder="1" applyAlignment="1">
      <alignment horizontal="center" vertical="center" wrapText="1" readingOrder="2"/>
    </xf>
    <xf numFmtId="0" fontId="20" fillId="0" borderId="4" xfId="3" applyFont="1" applyBorder="1" applyAlignment="1">
      <alignment horizontal="center" vertical="center" wrapText="1" readingOrder="2"/>
    </xf>
    <xf numFmtId="0" fontId="11" fillId="0" borderId="2" xfId="3" applyFont="1" applyBorder="1" applyAlignment="1">
      <alignment horizontal="left" vertical="center" readingOrder="2"/>
    </xf>
    <xf numFmtId="0" fontId="11" fillId="0" borderId="3" xfId="3" applyFont="1" applyBorder="1" applyAlignment="1">
      <alignment horizontal="left" vertical="center" readingOrder="2"/>
    </xf>
    <xf numFmtId="0" fontId="11" fillId="0" borderId="4" xfId="3" applyFont="1" applyBorder="1" applyAlignment="1">
      <alignment horizontal="left" vertical="center" readingOrder="2"/>
    </xf>
    <xf numFmtId="3" fontId="11" fillId="3" borderId="10" xfId="3" applyNumberFormat="1" applyFont="1" applyFill="1" applyBorder="1" applyAlignment="1">
      <alignment horizontal="center" vertical="center" textRotation="90" readingOrder="2"/>
    </xf>
    <xf numFmtId="3" fontId="11" fillId="3" borderId="8" xfId="3" applyNumberFormat="1" applyFont="1" applyFill="1" applyBorder="1" applyAlignment="1">
      <alignment horizontal="center" vertical="center" textRotation="90" readingOrder="2"/>
    </xf>
    <xf numFmtId="3" fontId="11" fillId="3" borderId="47" xfId="3" applyNumberFormat="1" applyFont="1" applyFill="1" applyBorder="1" applyAlignment="1">
      <alignment horizontal="center" vertical="center" textRotation="90" readingOrder="2"/>
    </xf>
    <xf numFmtId="0" fontId="11" fillId="3" borderId="5" xfId="3" applyFont="1" applyFill="1" applyBorder="1" applyAlignment="1">
      <alignment horizontal="center" vertical="center" textRotation="90" readingOrder="2"/>
    </xf>
    <xf numFmtId="0" fontId="11" fillId="3" borderId="7" xfId="3" applyFont="1" applyFill="1" applyBorder="1" applyAlignment="1">
      <alignment horizontal="center" vertical="center" textRotation="90" readingOrder="2"/>
    </xf>
    <xf numFmtId="0" fontId="11" fillId="3" borderId="18" xfId="3" applyFont="1" applyFill="1" applyBorder="1" applyAlignment="1">
      <alignment horizontal="center" vertical="center" textRotation="90" readingOrder="2"/>
    </xf>
    <xf numFmtId="0" fontId="11" fillId="3" borderId="10" xfId="3" applyFont="1" applyFill="1" applyBorder="1" applyAlignment="1">
      <alignment horizontal="center" vertical="center" readingOrder="2"/>
    </xf>
    <xf numFmtId="0" fontId="11" fillId="3" borderId="8" xfId="3" applyFont="1" applyFill="1" applyBorder="1" applyAlignment="1">
      <alignment horizontal="center" vertical="center" readingOrder="2"/>
    </xf>
    <xf numFmtId="0" fontId="11" fillId="3" borderId="20" xfId="3" applyFont="1" applyFill="1" applyBorder="1" applyAlignment="1">
      <alignment horizontal="center" vertical="center" readingOrder="2"/>
    </xf>
    <xf numFmtId="0" fontId="24" fillId="3" borderId="59" xfId="1" applyFont="1" applyFill="1" applyBorder="1" applyAlignment="1">
      <alignment horizontal="center" vertical="center" wrapText="1" readingOrder="2"/>
    </xf>
    <xf numFmtId="0" fontId="24" fillId="3" borderId="73" xfId="1" applyFont="1" applyFill="1" applyBorder="1" applyAlignment="1">
      <alignment horizontal="center" vertical="center" wrapText="1" readingOrder="2"/>
    </xf>
    <xf numFmtId="0" fontId="9" fillId="3" borderId="39" xfId="3" applyFont="1" applyFill="1" applyBorder="1" applyAlignment="1">
      <alignment horizontal="center" vertical="center" readingOrder="2"/>
    </xf>
    <xf numFmtId="0" fontId="9" fillId="3" borderId="68" xfId="3" applyFont="1" applyFill="1" applyBorder="1" applyAlignment="1">
      <alignment horizontal="center" vertical="center" readingOrder="2"/>
    </xf>
    <xf numFmtId="0" fontId="14" fillId="3" borderId="2" xfId="3" applyFont="1" applyFill="1" applyBorder="1" applyAlignment="1">
      <alignment horizontal="center" vertical="center" readingOrder="2"/>
    </xf>
    <xf numFmtId="0" fontId="14" fillId="3" borderId="3" xfId="3" applyFont="1" applyFill="1" applyBorder="1" applyAlignment="1">
      <alignment horizontal="center" vertical="center" readingOrder="2"/>
    </xf>
    <xf numFmtId="0" fontId="14" fillId="3" borderId="4" xfId="3" applyFont="1" applyFill="1" applyBorder="1" applyAlignment="1">
      <alignment horizontal="center" vertical="center" readingOrder="2"/>
    </xf>
    <xf numFmtId="0" fontId="24" fillId="3" borderId="76" xfId="1" applyFont="1" applyFill="1" applyBorder="1" applyAlignment="1">
      <alignment horizontal="center" vertical="center" wrapText="1" readingOrder="2"/>
    </xf>
    <xf numFmtId="0" fontId="24" fillId="3" borderId="77" xfId="1" applyFont="1" applyFill="1" applyBorder="1" applyAlignment="1">
      <alignment horizontal="center" vertical="center" wrapText="1" readingOrder="2"/>
    </xf>
    <xf numFmtId="0" fontId="10" fillId="3" borderId="5" xfId="1" applyFont="1" applyFill="1" applyBorder="1" applyAlignment="1">
      <alignment horizontal="center" vertical="center" wrapText="1" readingOrder="2"/>
    </xf>
    <xf numFmtId="0" fontId="10" fillId="3" borderId="6" xfId="1" applyFont="1" applyFill="1" applyBorder="1" applyAlignment="1">
      <alignment horizontal="center" vertical="center" wrapText="1" readingOrder="2"/>
    </xf>
    <xf numFmtId="0" fontId="10" fillId="3" borderId="10" xfId="1" applyFont="1" applyFill="1" applyBorder="1" applyAlignment="1">
      <alignment horizontal="center" vertical="center" wrapText="1" readingOrder="2"/>
    </xf>
    <xf numFmtId="0" fontId="10" fillId="6" borderId="5" xfId="3" applyFont="1" applyFill="1" applyBorder="1" applyAlignment="1">
      <alignment horizontal="center" vertical="center" wrapText="1" readingOrder="2"/>
    </xf>
    <xf numFmtId="0" fontId="10" fillId="6" borderId="10" xfId="3" applyFont="1" applyFill="1" applyBorder="1" applyAlignment="1">
      <alignment horizontal="center" vertical="center" wrapText="1" readingOrder="2"/>
    </xf>
    <xf numFmtId="0" fontId="9" fillId="3" borderId="34" xfId="3" applyFont="1" applyFill="1" applyBorder="1" applyAlignment="1">
      <alignment horizontal="center" vertical="center" wrapText="1" readingOrder="2"/>
    </xf>
    <xf numFmtId="0" fontId="9" fillId="3" borderId="88" xfId="3" applyFont="1" applyFill="1" applyBorder="1" applyAlignment="1">
      <alignment horizontal="center" vertical="center" wrapText="1" readingOrder="2"/>
    </xf>
    <xf numFmtId="0" fontId="9" fillId="3" borderId="12" xfId="3" applyFont="1" applyFill="1" applyBorder="1" applyAlignment="1">
      <alignment horizontal="center" vertical="center" wrapText="1" readingOrder="2"/>
    </xf>
    <xf numFmtId="0" fontId="9" fillId="3" borderId="91" xfId="3" applyFont="1" applyFill="1" applyBorder="1" applyAlignment="1">
      <alignment horizontal="center" vertical="center" wrapText="1" readingOrder="2"/>
    </xf>
    <xf numFmtId="0" fontId="11" fillId="7" borderId="5" xfId="3" applyFont="1" applyFill="1" applyBorder="1" applyAlignment="1">
      <alignment horizontal="center" vertical="center" readingOrder="2"/>
    </xf>
    <xf numFmtId="0" fontId="11" fillId="7" borderId="6" xfId="3" applyFont="1" applyFill="1" applyBorder="1" applyAlignment="1">
      <alignment horizontal="center" vertical="center" readingOrder="2"/>
    </xf>
    <xf numFmtId="0" fontId="11" fillId="7" borderId="10" xfId="3" applyFont="1" applyFill="1" applyBorder="1" applyAlignment="1">
      <alignment horizontal="center" vertical="center" readingOrder="2"/>
    </xf>
    <xf numFmtId="0" fontId="11" fillId="7" borderId="35" xfId="3" applyFont="1" applyFill="1" applyBorder="1" applyAlignment="1">
      <alignment horizontal="center" vertical="center" readingOrder="2"/>
    </xf>
    <xf numFmtId="0" fontId="11" fillId="7" borderId="16" xfId="3" applyFont="1" applyFill="1" applyBorder="1" applyAlignment="1">
      <alignment horizontal="center" vertical="center" readingOrder="2"/>
    </xf>
    <xf numFmtId="0" fontId="11" fillId="7" borderId="74" xfId="3" applyFont="1" applyFill="1" applyBorder="1" applyAlignment="1">
      <alignment horizontal="center" vertical="center" readingOrder="2"/>
    </xf>
    <xf numFmtId="0" fontId="14" fillId="3" borderId="22" xfId="3" applyFont="1" applyFill="1" applyBorder="1" applyAlignment="1">
      <alignment horizontal="center" vertical="center" readingOrder="2"/>
    </xf>
    <xf numFmtId="0" fontId="10" fillId="3" borderId="2" xfId="3" applyFont="1" applyFill="1" applyBorder="1" applyAlignment="1">
      <alignment horizontal="center" vertical="center" wrapText="1" readingOrder="2"/>
    </xf>
    <xf numFmtId="0" fontId="10" fillId="3" borderId="3" xfId="3" applyFont="1" applyFill="1" applyBorder="1" applyAlignment="1">
      <alignment horizontal="center" vertical="center" wrapText="1" readingOrder="2"/>
    </xf>
    <xf numFmtId="0" fontId="11" fillId="7" borderId="13" xfId="3" applyFont="1" applyFill="1" applyBorder="1" applyAlignment="1">
      <alignment horizontal="center" vertical="center" wrapText="1" readingOrder="2"/>
    </xf>
    <xf numFmtId="0" fontId="11" fillId="7" borderId="14" xfId="3" applyFont="1" applyFill="1" applyBorder="1" applyAlignment="1">
      <alignment horizontal="center" vertical="center" wrapText="1" readingOrder="2"/>
    </xf>
    <xf numFmtId="0" fontId="11" fillId="7" borderId="24" xfId="3" applyFont="1" applyFill="1" applyBorder="1" applyAlignment="1">
      <alignment horizontal="center" vertical="center" wrapText="1" readingOrder="2"/>
    </xf>
    <xf numFmtId="0" fontId="11" fillId="7" borderId="60" xfId="3" applyFont="1" applyFill="1" applyBorder="1" applyAlignment="1">
      <alignment horizontal="center" vertical="center" wrapText="1" readingOrder="2"/>
    </xf>
    <xf numFmtId="0" fontId="11" fillId="7" borderId="78" xfId="3" applyFont="1" applyFill="1" applyBorder="1" applyAlignment="1">
      <alignment horizontal="center" vertical="center" wrapText="1" readingOrder="2"/>
    </xf>
    <xf numFmtId="0" fontId="11" fillId="3" borderId="59" xfId="3" applyFont="1" applyFill="1" applyBorder="1" applyAlignment="1">
      <alignment horizontal="center" vertical="center" wrapText="1" readingOrder="2"/>
    </xf>
    <xf numFmtId="0" fontId="11" fillId="3" borderId="48" xfId="3" applyFont="1" applyFill="1" applyBorder="1" applyAlignment="1">
      <alignment horizontal="center" vertical="center" wrapText="1" readingOrder="2"/>
    </xf>
    <xf numFmtId="0" fontId="10" fillId="7" borderId="7" xfId="3" applyFont="1" applyFill="1" applyBorder="1" applyAlignment="1">
      <alignment horizontal="center" vertical="center" wrapText="1" readingOrder="2"/>
    </xf>
    <xf numFmtId="0" fontId="10" fillId="7" borderId="8" xfId="3" applyFont="1" applyFill="1" applyBorder="1" applyAlignment="1">
      <alignment horizontal="center" vertical="center" wrapText="1" readingOrder="2"/>
    </xf>
    <xf numFmtId="0" fontId="10" fillId="7" borderId="5" xfId="3" applyFont="1" applyFill="1" applyBorder="1" applyAlignment="1">
      <alignment horizontal="center" vertical="center" wrapText="1" readingOrder="2"/>
    </xf>
    <xf numFmtId="0" fontId="10" fillId="7" borderId="11" xfId="3" applyFont="1" applyFill="1" applyBorder="1" applyAlignment="1">
      <alignment horizontal="center" vertical="center" wrapText="1" readingOrder="2"/>
    </xf>
    <xf numFmtId="0" fontId="10" fillId="7" borderId="10" xfId="3" applyFont="1" applyFill="1" applyBorder="1" applyAlignment="1">
      <alignment horizontal="center" vertical="center" wrapText="1" readingOrder="2"/>
    </xf>
    <xf numFmtId="0" fontId="10" fillId="7" borderId="47" xfId="3" applyFont="1" applyFill="1" applyBorder="1" applyAlignment="1">
      <alignment horizontal="center" vertical="center" wrapText="1" readingOrder="2"/>
    </xf>
    <xf numFmtId="0" fontId="10" fillId="6" borderId="46" xfId="3" applyFont="1" applyFill="1" applyBorder="1" applyAlignment="1">
      <alignment horizontal="center" vertical="center" wrapText="1" readingOrder="2"/>
    </xf>
    <xf numFmtId="0" fontId="10" fillId="6" borderId="23" xfId="3" applyFont="1" applyFill="1" applyBorder="1" applyAlignment="1">
      <alignment horizontal="center" vertical="center" wrapText="1" readingOrder="2"/>
    </xf>
    <xf numFmtId="0" fontId="10" fillId="7" borderId="73" xfId="3" applyFont="1" applyFill="1" applyBorder="1" applyAlignment="1">
      <alignment horizontal="center" vertical="center" wrapText="1" readingOrder="2"/>
    </xf>
    <xf numFmtId="0" fontId="10" fillId="7" borderId="76" xfId="3" applyFont="1" applyFill="1" applyBorder="1" applyAlignment="1">
      <alignment horizontal="center" vertical="center" wrapText="1" readingOrder="2"/>
    </xf>
    <xf numFmtId="0" fontId="11" fillId="7" borderId="49" xfId="3" applyFont="1" applyFill="1" applyBorder="1" applyAlignment="1">
      <alignment horizontal="center" vertical="center" readingOrder="2"/>
    </xf>
    <xf numFmtId="0" fontId="11" fillId="7" borderId="35" xfId="3" applyFont="1" applyFill="1" applyBorder="1" applyAlignment="1">
      <alignment horizontal="center" vertical="center" wrapText="1" readingOrder="2"/>
    </xf>
    <xf numFmtId="0" fontId="11" fillId="7" borderId="16" xfId="3" applyFont="1" applyFill="1" applyBorder="1" applyAlignment="1">
      <alignment horizontal="center" vertical="center" wrapText="1" readingOrder="2"/>
    </xf>
    <xf numFmtId="0" fontId="11" fillId="7" borderId="74" xfId="3" applyFont="1" applyFill="1" applyBorder="1" applyAlignment="1">
      <alignment horizontal="center" vertical="center" wrapText="1" readingOrder="2"/>
    </xf>
    <xf numFmtId="0" fontId="14" fillId="0" borderId="2" xfId="3" applyFont="1" applyBorder="1" applyAlignment="1">
      <alignment horizontal="center" vertical="center" readingOrder="2"/>
    </xf>
    <xf numFmtId="0" fontId="14" fillId="0" borderId="3" xfId="3" applyFont="1" applyBorder="1" applyAlignment="1">
      <alignment horizontal="center" vertical="center" readingOrder="2"/>
    </xf>
    <xf numFmtId="0" fontId="14" fillId="0" borderId="2" xfId="3" applyFont="1" applyBorder="1" applyAlignment="1">
      <alignment horizontal="center" vertical="center" wrapText="1" readingOrder="2"/>
    </xf>
    <xf numFmtId="0" fontId="14" fillId="0" borderId="3" xfId="3" applyFont="1" applyBorder="1" applyAlignment="1">
      <alignment horizontal="center" vertical="center" wrapText="1" readingOrder="2"/>
    </xf>
    <xf numFmtId="0" fontId="14" fillId="0" borderId="4" xfId="3" applyFont="1" applyBorder="1" applyAlignment="1">
      <alignment horizontal="center" vertical="center" wrapText="1" readingOrder="2"/>
    </xf>
    <xf numFmtId="0" fontId="9" fillId="3" borderId="48" xfId="3" applyFont="1" applyFill="1" applyBorder="1" applyAlignment="1">
      <alignment horizontal="center" vertical="center" readingOrder="2"/>
    </xf>
    <xf numFmtId="0" fontId="9" fillId="3" borderId="73" xfId="3" applyFont="1" applyFill="1" applyBorder="1" applyAlignment="1">
      <alignment horizontal="center" vertical="center" readingOrder="2"/>
    </xf>
    <xf numFmtId="0" fontId="11" fillId="10" borderId="2" xfId="3" applyFont="1" applyFill="1" applyBorder="1" applyAlignment="1">
      <alignment horizontal="right" vertical="center" wrapText="1" readingOrder="2"/>
    </xf>
    <xf numFmtId="0" fontId="11" fillId="10" borderId="3" xfId="3" applyFont="1" applyFill="1" applyBorder="1" applyAlignment="1">
      <alignment horizontal="right" vertical="center" wrapText="1" readingOrder="2"/>
    </xf>
    <xf numFmtId="0" fontId="11" fillId="10" borderId="4" xfId="3" applyFont="1" applyFill="1" applyBorder="1" applyAlignment="1">
      <alignment horizontal="right" vertical="center" wrapText="1" readingOrder="2"/>
    </xf>
    <xf numFmtId="0" fontId="10" fillId="10" borderId="39" xfId="3" applyFont="1" applyFill="1" applyBorder="1" applyAlignment="1">
      <alignment horizontal="center" vertical="center" textRotation="90" wrapText="1" readingOrder="2"/>
    </xf>
    <xf numFmtId="0" fontId="10" fillId="10" borderId="40" xfId="3" applyFont="1" applyFill="1" applyBorder="1" applyAlignment="1">
      <alignment horizontal="center" vertical="center" textRotation="90" wrapText="1" readingOrder="2"/>
    </xf>
    <xf numFmtId="0" fontId="10" fillId="10" borderId="41" xfId="3" applyFont="1" applyFill="1" applyBorder="1" applyAlignment="1">
      <alignment horizontal="center" vertical="center" textRotation="90" wrapText="1" readingOrder="2"/>
    </xf>
    <xf numFmtId="0" fontId="10" fillId="10" borderId="39" xfId="3" applyFont="1" applyFill="1" applyBorder="1" applyAlignment="1">
      <alignment horizontal="center" vertical="center" textRotation="90" readingOrder="2"/>
    </xf>
    <xf numFmtId="0" fontId="10" fillId="10" borderId="40" xfId="3" applyFont="1" applyFill="1" applyBorder="1" applyAlignment="1">
      <alignment horizontal="center" vertical="center" textRotation="90" readingOrder="2"/>
    </xf>
    <xf numFmtId="0" fontId="10" fillId="10" borderId="41" xfId="3" applyFont="1" applyFill="1" applyBorder="1" applyAlignment="1">
      <alignment horizontal="center" vertical="center" textRotation="90" readingOrder="2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2 3" xfId="3" xr:uid="{00000000-0005-0000-0000-000003000000}"/>
  </cellStyles>
  <dxfs count="0"/>
  <tableStyles count="0" defaultTableStyle="TableStyleMedium2" defaultPivotStyle="PivotStyleLight16"/>
  <colors>
    <mruColors>
      <color rgb="FFFF99FF"/>
      <color rgb="FFE1CCF0"/>
      <color rgb="FFC59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894683</xdr:colOff>
      <xdr:row>3</xdr:row>
      <xdr:rowOff>245585</xdr:rowOff>
    </xdr:from>
    <xdr:to>
      <xdr:col>3</xdr:col>
      <xdr:colOff>2364054</xdr:colOff>
      <xdr:row>4</xdr:row>
      <xdr:rowOff>296863</xdr:rowOff>
    </xdr:to>
    <xdr:pic>
      <xdr:nvPicPr>
        <xdr:cNvPr id="2" name="Content Placeholder 8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689"/>
        <a:stretch/>
      </xdr:blipFill>
      <xdr:spPr>
        <a:xfrm>
          <a:off x="11439573946" y="1007585"/>
          <a:ext cx="1469371" cy="18292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1081563</xdr:colOff>
      <xdr:row>2</xdr:row>
      <xdr:rowOff>-1</xdr:rowOff>
    </xdr:from>
    <xdr:ext cx="1902936" cy="2371975"/>
    <xdr:pic>
      <xdr:nvPicPr>
        <xdr:cNvPr id="2" name="Content Placeholder 8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689"/>
        <a:stretch/>
      </xdr:blipFill>
      <xdr:spPr>
        <a:xfrm>
          <a:off x="11474323001" y="285749"/>
          <a:ext cx="1902936" cy="23719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.rashtian\Desktop\&#1580;&#1606;&#1711;%20&#1575;&#1587;&#1601;&#1606;&#1583;%201404\&#1570;&#1605;&#1575;&#1585;%20&#1575;&#1585;&#1586;&#1740;&#1575;&#1576;&#1740;\1405-02-23&#1576;&#1606;&#1740;&#1575;&#1583;%20&#1605;&#1587;&#1705;&#1606;%20&#1570;&#1605;&#1575;&#1585;%20&#1575;&#1585;&#1586;&#1740;&#1575;&#1576;&#1740;%20&#1608;%20&#1576;&#1585;&#1570;&#1608;&#1585;&#1583;%20&#1578;&#1601;&#1705;&#1740;&#1705;&#1740;%20&#1705;&#1604;&#1575;&#1606;%20&#1588;&#1607;&#1585;&#1607;&#1575;%20&#1608;%20&#1576;&#1581;&#1585;&#1575;&#1606;%20&#1582;&#1587;&#1575;&#1585;&#1578;&#1607;&#1575;&#1740;%20&#1580;&#1606;&#1711;%20&#1585;&#1605;&#1590;&#1575;&#160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معیشتی نهادها "/>
      <sheetName val="بحران"/>
      <sheetName val="تفضیلی سایر شهرها و روستاها"/>
      <sheetName val="تفضیلی کلان شهرها"/>
      <sheetName val="عملکرد سایر شهرها و روستاها"/>
      <sheetName val="عملکرد کلان شهرها"/>
      <sheetName val="تفضیلی نهایی"/>
      <sheetName val="جدول خلاصه ریاست"/>
      <sheetName val="عملکرد نهایی"/>
      <sheetName val="عملکرد نهایی (2)"/>
    </sheetNames>
    <sheetDataSet>
      <sheetData sheetId="0"/>
      <sheetData sheetId="1"/>
      <sheetData sheetId="2"/>
      <sheetData sheetId="3"/>
      <sheetData sheetId="4">
        <row r="18">
          <cell r="AD18">
            <v>493</v>
          </cell>
        </row>
      </sheetData>
      <sheetData sheetId="5">
        <row r="8">
          <cell r="I8">
            <v>0</v>
          </cell>
          <cell r="K8"/>
          <cell r="L8"/>
          <cell r="O8"/>
          <cell r="P8"/>
          <cell r="S8"/>
        </row>
        <row r="13">
          <cell r="L13"/>
          <cell r="O13"/>
          <cell r="P13"/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BU43"/>
  <sheetViews>
    <sheetView rightToLeft="1" tabSelected="1" showWhiteSpace="0" zoomScale="30" zoomScaleNormal="30" zoomScalePageLayoutView="69" workbookViewId="0">
      <selection activeCell="E5" sqref="E5:AO5"/>
    </sheetView>
  </sheetViews>
  <sheetFormatPr defaultColWidth="9" defaultRowHeight="15" x14ac:dyDescent="0.25"/>
  <cols>
    <col min="1" max="1" width="27.125" style="195" customWidth="1"/>
    <col min="2" max="2" width="14" style="195" customWidth="1"/>
    <col min="3" max="3" width="7.5" style="195" customWidth="1"/>
    <col min="4" max="4" width="67.625" style="195" bestFit="1" customWidth="1"/>
    <col min="5" max="9" width="20.625" style="195" customWidth="1"/>
    <col min="10" max="10" width="17.375" style="195" customWidth="1"/>
    <col min="11" max="18" width="16.625" style="195" customWidth="1"/>
    <col min="19" max="19" width="18.625" style="195" customWidth="1"/>
    <col min="20" max="20" width="20.625" style="195" customWidth="1"/>
    <col min="21" max="31" width="22.625" style="195" customWidth="1"/>
    <col min="32" max="32" width="16.625" style="195" customWidth="1"/>
    <col min="33" max="33" width="19.5" style="195" customWidth="1"/>
    <col min="34" max="35" width="16.625" style="195" customWidth="1"/>
    <col min="36" max="36" width="15.5" style="195" customWidth="1"/>
    <col min="37" max="38" width="16.625" style="195" customWidth="1"/>
    <col min="39" max="39" width="15.25" style="195" customWidth="1"/>
    <col min="40" max="40" width="16.625" style="195" customWidth="1"/>
    <col min="41" max="41" width="20.625" style="195" customWidth="1"/>
    <col min="42" max="45" width="20.625" style="195" hidden="1" customWidth="1"/>
    <col min="46" max="46" width="86.75" style="195" hidden="1" customWidth="1"/>
    <col min="47" max="47" width="9" style="195" hidden="1" customWidth="1"/>
    <col min="48" max="48" width="17" style="195" hidden="1" customWidth="1"/>
    <col min="49" max="50" width="20.5" style="195" hidden="1" customWidth="1"/>
    <col min="51" max="51" width="21.5" style="195" hidden="1" customWidth="1"/>
    <col min="52" max="53" width="21.5" style="196" hidden="1" customWidth="1"/>
    <col min="54" max="62" width="28.375" style="195" hidden="1" customWidth="1"/>
    <col min="63" max="63" width="28.125" style="195" hidden="1" customWidth="1"/>
    <col min="64" max="73" width="9" style="195" hidden="1" customWidth="1"/>
    <col min="74" max="74" width="9" style="195" customWidth="1"/>
    <col min="75" max="16384" width="9" style="195"/>
  </cols>
  <sheetData>
    <row r="2" spans="2:67" ht="39" hidden="1" customHeight="1" thickBot="1" x14ac:dyDescent="0.3">
      <c r="AM2" s="486" t="s">
        <v>157</v>
      </c>
      <c r="AN2" s="487"/>
      <c r="AO2" s="488"/>
    </row>
    <row r="3" spans="2:67" ht="29.25" customHeight="1" thickBot="1" x14ac:dyDescent="0.3"/>
    <row r="4" spans="2:67" ht="139.5" customHeight="1" thickBot="1" x14ac:dyDescent="0.3">
      <c r="B4" s="624"/>
      <c r="C4" s="625"/>
      <c r="D4" s="626"/>
      <c r="E4" s="630" t="s">
        <v>169</v>
      </c>
      <c r="F4" s="630"/>
      <c r="G4" s="630"/>
      <c r="H4" s="630"/>
      <c r="I4" s="630"/>
      <c r="J4" s="630"/>
      <c r="K4" s="630"/>
      <c r="L4" s="630"/>
      <c r="M4" s="630"/>
      <c r="N4" s="630"/>
      <c r="O4" s="630"/>
      <c r="P4" s="630"/>
      <c r="Q4" s="630"/>
      <c r="R4" s="630"/>
      <c r="S4" s="630"/>
      <c r="T4" s="630"/>
      <c r="U4" s="630"/>
      <c r="V4" s="630"/>
      <c r="W4" s="630"/>
      <c r="X4" s="630"/>
      <c r="Y4" s="630"/>
      <c r="Z4" s="630"/>
      <c r="AA4" s="630"/>
      <c r="AB4" s="630"/>
      <c r="AC4" s="630"/>
      <c r="AD4" s="630"/>
      <c r="AE4" s="630"/>
      <c r="AF4" s="630"/>
      <c r="AG4" s="630"/>
      <c r="AH4" s="630"/>
      <c r="AI4" s="630"/>
      <c r="AJ4" s="630"/>
      <c r="AK4" s="630"/>
      <c r="AL4" s="630"/>
      <c r="AM4" s="630"/>
      <c r="AN4" s="630"/>
      <c r="AO4" s="631"/>
      <c r="AP4" s="197"/>
      <c r="AT4" s="198"/>
      <c r="BA4" s="199"/>
    </row>
    <row r="5" spans="2:67" ht="68.25" customHeight="1" thickBot="1" x14ac:dyDescent="0.3">
      <c r="B5" s="627"/>
      <c r="C5" s="628"/>
      <c r="D5" s="629"/>
      <c r="E5" s="632" t="s">
        <v>170</v>
      </c>
      <c r="F5" s="633"/>
      <c r="G5" s="633"/>
      <c r="H5" s="633"/>
      <c r="I5" s="633"/>
      <c r="J5" s="633"/>
      <c r="K5" s="633"/>
      <c r="L5" s="633"/>
      <c r="M5" s="633"/>
      <c r="N5" s="633"/>
      <c r="O5" s="633"/>
      <c r="P5" s="633"/>
      <c r="Q5" s="633"/>
      <c r="R5" s="633"/>
      <c r="S5" s="633"/>
      <c r="T5" s="633"/>
      <c r="U5" s="633"/>
      <c r="V5" s="633"/>
      <c r="W5" s="633"/>
      <c r="X5" s="633"/>
      <c r="Y5" s="633"/>
      <c r="Z5" s="633"/>
      <c r="AA5" s="633"/>
      <c r="AB5" s="633"/>
      <c r="AC5" s="633"/>
      <c r="AD5" s="633"/>
      <c r="AE5" s="633"/>
      <c r="AF5" s="633"/>
      <c r="AG5" s="633"/>
      <c r="AH5" s="633"/>
      <c r="AI5" s="633"/>
      <c r="AJ5" s="633"/>
      <c r="AK5" s="633"/>
      <c r="AL5" s="633"/>
      <c r="AM5" s="633"/>
      <c r="AN5" s="633"/>
      <c r="AO5" s="634"/>
      <c r="AP5" s="197"/>
      <c r="AT5" s="200"/>
      <c r="BA5" s="199"/>
    </row>
    <row r="6" spans="2:67" ht="78" customHeight="1" thickBot="1" x14ac:dyDescent="0.3">
      <c r="B6" s="635" t="s">
        <v>44</v>
      </c>
      <c r="C6" s="638" t="s">
        <v>8</v>
      </c>
      <c r="D6" s="641" t="s">
        <v>0</v>
      </c>
      <c r="E6" s="697" t="s">
        <v>91</v>
      </c>
      <c r="F6" s="697"/>
      <c r="G6" s="698"/>
      <c r="H6" s="648" t="s">
        <v>93</v>
      </c>
      <c r="I6" s="649"/>
      <c r="J6" s="649"/>
      <c r="K6" s="649"/>
      <c r="L6" s="649"/>
      <c r="M6" s="649"/>
      <c r="N6" s="649"/>
      <c r="O6" s="649"/>
      <c r="P6" s="649"/>
      <c r="Q6" s="649"/>
      <c r="R6" s="649"/>
      <c r="S6" s="649"/>
      <c r="T6" s="650"/>
      <c r="U6" s="648" t="s">
        <v>90</v>
      </c>
      <c r="V6" s="649"/>
      <c r="W6" s="649"/>
      <c r="X6" s="649"/>
      <c r="Y6" s="668"/>
      <c r="Z6" s="668"/>
      <c r="AA6" s="668"/>
      <c r="AB6" s="668"/>
      <c r="AC6" s="668"/>
      <c r="AD6" s="668"/>
      <c r="AE6" s="668"/>
      <c r="AF6" s="649"/>
      <c r="AG6" s="649"/>
      <c r="AH6" s="649"/>
      <c r="AI6" s="649"/>
      <c r="AJ6" s="649"/>
      <c r="AK6" s="649"/>
      <c r="AL6" s="649"/>
      <c r="AM6" s="649"/>
      <c r="AN6" s="649"/>
      <c r="AO6" s="650"/>
      <c r="AP6" s="669" t="s">
        <v>113</v>
      </c>
      <c r="AQ6" s="670"/>
      <c r="AR6" s="684" t="s">
        <v>114</v>
      </c>
      <c r="AS6" s="685"/>
      <c r="AT6" s="201"/>
      <c r="AX6" s="656" t="s">
        <v>115</v>
      </c>
      <c r="AY6" s="657"/>
      <c r="AZ6" s="202"/>
      <c r="BA6" s="202"/>
      <c r="BO6" s="198"/>
    </row>
    <row r="7" spans="2:67" ht="140.1" customHeight="1" thickBot="1" x14ac:dyDescent="0.3">
      <c r="B7" s="636"/>
      <c r="C7" s="639"/>
      <c r="D7" s="642"/>
      <c r="E7" s="658" t="s">
        <v>116</v>
      </c>
      <c r="F7" s="660" t="s">
        <v>117</v>
      </c>
      <c r="G7" s="651" t="s">
        <v>167</v>
      </c>
      <c r="H7" s="644" t="s">
        <v>159</v>
      </c>
      <c r="I7" s="645"/>
      <c r="J7" s="646" t="s">
        <v>92</v>
      </c>
      <c r="K7" s="662" t="s">
        <v>94</v>
      </c>
      <c r="L7" s="663"/>
      <c r="M7" s="664"/>
      <c r="N7" s="665" t="s">
        <v>95</v>
      </c>
      <c r="O7" s="666"/>
      <c r="P7" s="667"/>
      <c r="Q7" s="671" t="s">
        <v>103</v>
      </c>
      <c r="R7" s="672"/>
      <c r="S7" s="673"/>
      <c r="T7" s="674" t="s">
        <v>96</v>
      </c>
      <c r="U7" s="676" t="s">
        <v>97</v>
      </c>
      <c r="V7" s="677"/>
      <c r="W7" s="677"/>
      <c r="X7" s="677"/>
      <c r="Y7" s="653" t="s">
        <v>159</v>
      </c>
      <c r="Z7" s="654"/>
      <c r="AA7" s="654"/>
      <c r="AB7" s="654"/>
      <c r="AC7" s="654"/>
      <c r="AD7" s="654"/>
      <c r="AE7" s="655"/>
      <c r="AF7" s="688" t="s">
        <v>94</v>
      </c>
      <c r="AG7" s="663"/>
      <c r="AH7" s="664"/>
      <c r="AI7" s="662" t="s">
        <v>95</v>
      </c>
      <c r="AJ7" s="663"/>
      <c r="AK7" s="664"/>
      <c r="AL7" s="689" t="s">
        <v>103</v>
      </c>
      <c r="AM7" s="690"/>
      <c r="AN7" s="691"/>
      <c r="AO7" s="674" t="s">
        <v>98</v>
      </c>
      <c r="AP7" s="680" t="s">
        <v>118</v>
      </c>
      <c r="AQ7" s="686" t="s">
        <v>119</v>
      </c>
      <c r="AR7" s="680" t="s">
        <v>120</v>
      </c>
      <c r="AS7" s="682" t="s">
        <v>121</v>
      </c>
      <c r="AT7" s="201"/>
      <c r="AX7" s="678" t="s">
        <v>119</v>
      </c>
      <c r="AY7" s="679" t="s">
        <v>120</v>
      </c>
      <c r="AZ7" s="202"/>
      <c r="BA7" s="202"/>
      <c r="BO7" s="200"/>
    </row>
    <row r="8" spans="2:67" ht="90" customHeight="1" thickBot="1" x14ac:dyDescent="0.3">
      <c r="B8" s="637"/>
      <c r="C8" s="640"/>
      <c r="D8" s="643"/>
      <c r="E8" s="659"/>
      <c r="F8" s="661"/>
      <c r="G8" s="652"/>
      <c r="H8" s="412" t="s">
        <v>9</v>
      </c>
      <c r="I8" s="413" t="s">
        <v>10</v>
      </c>
      <c r="J8" s="647"/>
      <c r="K8" s="369" t="s">
        <v>9</v>
      </c>
      <c r="L8" s="370" t="s">
        <v>10</v>
      </c>
      <c r="M8" s="371" t="s">
        <v>11</v>
      </c>
      <c r="N8" s="372" t="s">
        <v>9</v>
      </c>
      <c r="O8" s="370" t="s">
        <v>10</v>
      </c>
      <c r="P8" s="373" t="s">
        <v>11</v>
      </c>
      <c r="Q8" s="374" t="s">
        <v>9</v>
      </c>
      <c r="R8" s="375" t="s">
        <v>10</v>
      </c>
      <c r="S8" s="376" t="s">
        <v>11</v>
      </c>
      <c r="T8" s="675"/>
      <c r="U8" s="377" t="s">
        <v>99</v>
      </c>
      <c r="V8" s="378" t="s">
        <v>122</v>
      </c>
      <c r="W8" s="378" t="s">
        <v>100</v>
      </c>
      <c r="X8" s="449" t="s">
        <v>123</v>
      </c>
      <c r="Y8" s="452" t="s">
        <v>160</v>
      </c>
      <c r="Z8" s="451" t="s">
        <v>161</v>
      </c>
      <c r="AA8" s="451" t="s">
        <v>162</v>
      </c>
      <c r="AB8" s="451" t="s">
        <v>163</v>
      </c>
      <c r="AC8" s="451" t="s">
        <v>164</v>
      </c>
      <c r="AD8" s="451" t="s">
        <v>165</v>
      </c>
      <c r="AE8" s="453" t="s">
        <v>168</v>
      </c>
      <c r="AF8" s="372" t="s">
        <v>9</v>
      </c>
      <c r="AG8" s="370" t="s">
        <v>10</v>
      </c>
      <c r="AH8" s="371" t="s">
        <v>11</v>
      </c>
      <c r="AI8" s="369" t="s">
        <v>9</v>
      </c>
      <c r="AJ8" s="370" t="s">
        <v>10</v>
      </c>
      <c r="AK8" s="371" t="s">
        <v>11</v>
      </c>
      <c r="AL8" s="372" t="s">
        <v>9</v>
      </c>
      <c r="AM8" s="370" t="s">
        <v>10</v>
      </c>
      <c r="AN8" s="373" t="s">
        <v>11</v>
      </c>
      <c r="AO8" s="675"/>
      <c r="AP8" s="681"/>
      <c r="AQ8" s="687"/>
      <c r="AR8" s="681"/>
      <c r="AS8" s="683"/>
      <c r="AT8" s="201"/>
      <c r="AX8" s="678"/>
      <c r="AY8" s="679"/>
      <c r="AZ8" s="202"/>
      <c r="BA8" s="202"/>
      <c r="BF8" s="203"/>
      <c r="BG8" s="203"/>
      <c r="BH8" s="203"/>
      <c r="BI8" s="203"/>
      <c r="BJ8" s="203"/>
      <c r="BK8" s="203"/>
      <c r="BO8" s="200"/>
    </row>
    <row r="9" spans="2:67" ht="80.099999999999994" customHeight="1" thickTop="1" x14ac:dyDescent="0.25">
      <c r="B9" s="702" t="s">
        <v>40</v>
      </c>
      <c r="C9" s="204">
        <v>1</v>
      </c>
      <c r="D9" s="277" t="s">
        <v>124</v>
      </c>
      <c r="E9" s="307">
        <v>0</v>
      </c>
      <c r="F9" s="314">
        <v>0</v>
      </c>
      <c r="G9" s="409">
        <v>0</v>
      </c>
      <c r="H9" s="310">
        <v>0</v>
      </c>
      <c r="I9" s="409">
        <v>0</v>
      </c>
      <c r="J9" s="309">
        <f>'[1]عملکرد کلان شهرها'!S8</f>
        <v>0</v>
      </c>
      <c r="K9" s="310">
        <f>'ارزیابی و برآورد'!O11</f>
        <v>34</v>
      </c>
      <c r="L9" s="311">
        <f>'ارزیابی و برآورد'!P11</f>
        <v>6</v>
      </c>
      <c r="M9" s="308">
        <f>K9+L9</f>
        <v>40</v>
      </c>
      <c r="N9" s="311">
        <f>'ارزیابی و برآورد'!U11</f>
        <v>202</v>
      </c>
      <c r="O9" s="311">
        <f>'ارزیابی و برآورد'!V11</f>
        <v>49</v>
      </c>
      <c r="P9" s="312">
        <f>N9+O9</f>
        <v>251</v>
      </c>
      <c r="Q9" s="310">
        <f>'ارزیابی و برآورد'!AA11</f>
        <v>2316</v>
      </c>
      <c r="R9" s="311">
        <f>'ارزیابی و برآورد'!AB11</f>
        <v>354</v>
      </c>
      <c r="S9" s="308">
        <f>Q9+R9</f>
        <v>2670</v>
      </c>
      <c r="T9" s="309">
        <f>M9+P9+S9</f>
        <v>2961</v>
      </c>
      <c r="U9" s="313">
        <f>'[1]عملکرد کلان شهرها'!K8</f>
        <v>0</v>
      </c>
      <c r="V9" s="314">
        <f>'[1]عملکرد کلان شهرها'!L8</f>
        <v>0</v>
      </c>
      <c r="W9" s="314">
        <f>'[1]عملکرد کلان شهرها'!O8</f>
        <v>0</v>
      </c>
      <c r="X9" s="312">
        <f>'[1]عملکرد کلان شهرها'!P8</f>
        <v>0</v>
      </c>
      <c r="Y9" s="389"/>
      <c r="Z9" s="390"/>
      <c r="AA9" s="390"/>
      <c r="AB9" s="390"/>
      <c r="AC9" s="390"/>
      <c r="AD9" s="390"/>
      <c r="AE9" s="391"/>
      <c r="AF9" s="311">
        <v>1</v>
      </c>
      <c r="AG9" s="311">
        <v>0</v>
      </c>
      <c r="AH9" s="308">
        <f>AF9+AG9</f>
        <v>1</v>
      </c>
      <c r="AI9" s="310">
        <v>67</v>
      </c>
      <c r="AJ9" s="311">
        <v>0</v>
      </c>
      <c r="AK9" s="308">
        <f>AI9+AJ9</f>
        <v>67</v>
      </c>
      <c r="AL9" s="311">
        <v>473</v>
      </c>
      <c r="AM9" s="311">
        <v>0</v>
      </c>
      <c r="AN9" s="312">
        <f>AL9+AM9</f>
        <v>473</v>
      </c>
      <c r="AO9" s="309">
        <f>AN9+AK9+AH9</f>
        <v>541</v>
      </c>
      <c r="AP9" s="206" t="e">
        <f>#REF!*0.1*0.79</f>
        <v>#REF!</v>
      </c>
      <c r="AQ9" s="207">
        <v>180</v>
      </c>
      <c r="AR9" s="206">
        <v>40</v>
      </c>
      <c r="AS9" s="208"/>
      <c r="AT9" s="209"/>
      <c r="AU9" s="210">
        <f>R9</f>
        <v>354</v>
      </c>
      <c r="AV9" s="210">
        <f>AU9*100*0.64</f>
        <v>22656</v>
      </c>
      <c r="AW9" s="211">
        <v>200</v>
      </c>
      <c r="AX9" s="206">
        <v>50</v>
      </c>
      <c r="AY9" s="208"/>
      <c r="AZ9" s="202"/>
      <c r="BA9" s="202"/>
      <c r="BF9" s="203"/>
      <c r="BG9" s="203"/>
      <c r="BH9" s="203"/>
      <c r="BI9" s="203"/>
      <c r="BJ9" s="203"/>
      <c r="BK9" s="203"/>
      <c r="BO9" s="200"/>
    </row>
    <row r="10" spans="2:67" ht="80.099999999999994" customHeight="1" x14ac:dyDescent="0.25">
      <c r="B10" s="703"/>
      <c r="C10" s="212">
        <v>2</v>
      </c>
      <c r="D10" s="278" t="s">
        <v>125</v>
      </c>
      <c r="E10" s="315">
        <v>0</v>
      </c>
      <c r="F10" s="322">
        <v>0</v>
      </c>
      <c r="G10" s="410">
        <v>0</v>
      </c>
      <c r="H10" s="318">
        <v>0</v>
      </c>
      <c r="I10" s="410">
        <v>0</v>
      </c>
      <c r="J10" s="317">
        <v>0</v>
      </c>
      <c r="K10" s="318">
        <f>'ارزیابی و برآورد'!O13</f>
        <v>73</v>
      </c>
      <c r="L10" s="319">
        <f>'ارزیابی و برآورد'!P13</f>
        <v>3</v>
      </c>
      <c r="M10" s="316">
        <f>L10+K10</f>
        <v>76</v>
      </c>
      <c r="N10" s="319">
        <f>'ارزیابی و برآورد'!U13</f>
        <v>1357</v>
      </c>
      <c r="O10" s="319">
        <f>'ارزیابی و برآورد'!V13</f>
        <v>133</v>
      </c>
      <c r="P10" s="320">
        <f>O10+N10</f>
        <v>1490</v>
      </c>
      <c r="Q10" s="318">
        <f>'ارزیابی و برآورد'!AA13</f>
        <v>633</v>
      </c>
      <c r="R10" s="319">
        <f>'ارزیابی و برآورد'!AB13</f>
        <v>77</v>
      </c>
      <c r="S10" s="316">
        <f>R10+Q10</f>
        <v>710</v>
      </c>
      <c r="T10" s="321">
        <f>M10+P10+S10</f>
        <v>2276</v>
      </c>
      <c r="U10" s="318">
        <v>0</v>
      </c>
      <c r="V10" s="322">
        <v>0</v>
      </c>
      <c r="W10" s="322">
        <v>0</v>
      </c>
      <c r="X10" s="320">
        <v>0</v>
      </c>
      <c r="Y10" s="386"/>
      <c r="Z10" s="387"/>
      <c r="AA10" s="387"/>
      <c r="AB10" s="387"/>
      <c r="AC10" s="387"/>
      <c r="AD10" s="387"/>
      <c r="AE10" s="388"/>
      <c r="AF10" s="319">
        <v>0</v>
      </c>
      <c r="AG10" s="319">
        <v>0</v>
      </c>
      <c r="AH10" s="316">
        <v>0</v>
      </c>
      <c r="AI10" s="318">
        <v>0</v>
      </c>
      <c r="AJ10" s="319">
        <v>0</v>
      </c>
      <c r="AK10" s="316">
        <v>0</v>
      </c>
      <c r="AL10" s="319">
        <v>540</v>
      </c>
      <c r="AM10" s="319">
        <v>0</v>
      </c>
      <c r="AN10" s="323">
        <f>AL10+AM10</f>
        <v>540</v>
      </c>
      <c r="AO10" s="321">
        <f>AN10+AK10+AH10</f>
        <v>540</v>
      </c>
      <c r="AP10" s="206"/>
      <c r="AQ10" s="207"/>
      <c r="AR10" s="206"/>
      <c r="AS10" s="208"/>
      <c r="AT10" s="209"/>
      <c r="AU10" s="210"/>
      <c r="AV10" s="210"/>
      <c r="AW10" s="211"/>
      <c r="AX10" s="206"/>
      <c r="AY10" s="208"/>
      <c r="AZ10" s="202"/>
      <c r="BA10" s="202"/>
      <c r="BF10" s="203"/>
      <c r="BG10" s="203"/>
      <c r="BH10" s="203"/>
      <c r="BI10" s="203"/>
      <c r="BJ10" s="203"/>
      <c r="BK10" s="203"/>
      <c r="BO10" s="213"/>
    </row>
    <row r="11" spans="2:67" ht="80.099999999999994" customHeight="1" x14ac:dyDescent="0.25">
      <c r="B11" s="703"/>
      <c r="C11" s="215">
        <v>3</v>
      </c>
      <c r="D11" s="279" t="s">
        <v>126</v>
      </c>
      <c r="E11" s="324">
        <v>0</v>
      </c>
      <c r="F11" s="330">
        <v>0</v>
      </c>
      <c r="G11" s="385">
        <v>0</v>
      </c>
      <c r="H11" s="327">
        <v>0</v>
      </c>
      <c r="I11" s="385">
        <v>0</v>
      </c>
      <c r="J11" s="326">
        <v>1</v>
      </c>
      <c r="K11" s="327">
        <f>'ارزیابی و برآورد'!O16</f>
        <v>198</v>
      </c>
      <c r="L11" s="328">
        <f>'ارزیابی و برآورد'!P16</f>
        <v>45</v>
      </c>
      <c r="M11" s="325">
        <f>K11+L11</f>
        <v>243</v>
      </c>
      <c r="N11" s="328">
        <f>'ارزیابی و برآورد'!U16</f>
        <v>930</v>
      </c>
      <c r="O11" s="328">
        <f>'ارزیابی و برآورد'!V16</f>
        <v>220</v>
      </c>
      <c r="P11" s="329">
        <f>N11+O11</f>
        <v>1150</v>
      </c>
      <c r="Q11" s="327">
        <f>'ارزیابی و برآورد'!AA16</f>
        <v>821</v>
      </c>
      <c r="R11" s="328">
        <f>'ارزیابی و برآورد'!AB16</f>
        <v>204</v>
      </c>
      <c r="S11" s="325">
        <f>Q11+R11</f>
        <v>1025</v>
      </c>
      <c r="T11" s="326">
        <f>M11+P11+S11</f>
        <v>2418</v>
      </c>
      <c r="U11" s="327">
        <v>0</v>
      </c>
      <c r="V11" s="330">
        <f>'[1]عملکرد کلان شهرها'!L13</f>
        <v>0</v>
      </c>
      <c r="W11" s="330">
        <f>'[1]عملکرد کلان شهرها'!O13</f>
        <v>0</v>
      </c>
      <c r="X11" s="329">
        <f>'[1]عملکرد کلان شهرها'!P13</f>
        <v>0</v>
      </c>
      <c r="Y11" s="389"/>
      <c r="Z11" s="390"/>
      <c r="AA11" s="390"/>
      <c r="AB11" s="390"/>
      <c r="AC11" s="390"/>
      <c r="AD11" s="390"/>
      <c r="AE11" s="391"/>
      <c r="AF11" s="328">
        <v>64</v>
      </c>
      <c r="AG11" s="328">
        <v>10</v>
      </c>
      <c r="AH11" s="325">
        <f>AF11+AG11</f>
        <v>74</v>
      </c>
      <c r="AI11" s="327">
        <v>360</v>
      </c>
      <c r="AJ11" s="328">
        <v>51</v>
      </c>
      <c r="AK11" s="325">
        <f>AI11+AJ11</f>
        <v>411</v>
      </c>
      <c r="AL11" s="328">
        <v>755</v>
      </c>
      <c r="AM11" s="328">
        <v>110</v>
      </c>
      <c r="AN11" s="329">
        <f>AL11+AM11</f>
        <v>865</v>
      </c>
      <c r="AO11" s="326">
        <f>AH11+AK11+AN11</f>
        <v>1350</v>
      </c>
      <c r="AP11" s="218" t="e">
        <f>#REF!*0.1*0.79</f>
        <v>#REF!</v>
      </c>
      <c r="AQ11" s="219">
        <v>180</v>
      </c>
      <c r="AR11" s="222">
        <v>60</v>
      </c>
      <c r="AS11" s="223"/>
      <c r="AT11" s="224"/>
      <c r="AU11" s="225">
        <f>R11</f>
        <v>204</v>
      </c>
      <c r="AV11" s="225">
        <f t="shared" ref="AV11" si="0">AU11*100*0.64</f>
        <v>13056</v>
      </c>
      <c r="AW11" s="226">
        <v>170</v>
      </c>
      <c r="AX11" s="222">
        <v>70</v>
      </c>
      <c r="AY11" s="223"/>
      <c r="AZ11" s="202"/>
      <c r="BA11" s="202"/>
      <c r="BF11" s="203"/>
      <c r="BG11" s="203"/>
      <c r="BH11" s="203"/>
      <c r="BI11" s="203"/>
      <c r="BJ11" s="203"/>
      <c r="BK11" s="203"/>
      <c r="BO11" s="200"/>
    </row>
    <row r="12" spans="2:67" ht="80.099999999999994" customHeight="1" thickBot="1" x14ac:dyDescent="0.3">
      <c r="B12" s="704"/>
      <c r="C12" s="280">
        <v>4</v>
      </c>
      <c r="D12" s="281" t="s">
        <v>127</v>
      </c>
      <c r="E12" s="331">
        <v>232</v>
      </c>
      <c r="F12" s="437">
        <v>221</v>
      </c>
      <c r="G12" s="411">
        <v>154.69999999999999</v>
      </c>
      <c r="H12" s="415">
        <v>105</v>
      </c>
      <c r="I12" s="411">
        <v>2</v>
      </c>
      <c r="J12" s="332">
        <f>105-48</f>
        <v>57</v>
      </c>
      <c r="K12" s="333">
        <f>'ارزیابی و برآورد'!O17</f>
        <v>164</v>
      </c>
      <c r="L12" s="334">
        <f>'ارزیابی و برآورد'!P17</f>
        <v>24</v>
      </c>
      <c r="M12" s="335">
        <f>K12+L12</f>
        <v>188</v>
      </c>
      <c r="N12" s="334">
        <f>'ارزیابی و برآورد'!U17</f>
        <v>260</v>
      </c>
      <c r="O12" s="334">
        <f>'ارزیابی و برآورد'!V17</f>
        <v>52</v>
      </c>
      <c r="P12" s="336">
        <f>N12+O12</f>
        <v>312</v>
      </c>
      <c r="Q12" s="333">
        <f>'ارزیابی و برآورد'!AA17</f>
        <v>2765</v>
      </c>
      <c r="R12" s="334">
        <f>'ارزیابی و برآورد'!AB17</f>
        <v>487</v>
      </c>
      <c r="S12" s="335">
        <f>Q12+R12</f>
        <v>3252</v>
      </c>
      <c r="T12" s="337">
        <f>M12+P12+S12</f>
        <v>3752</v>
      </c>
      <c r="U12" s="338">
        <v>108</v>
      </c>
      <c r="V12" s="339">
        <v>12</v>
      </c>
      <c r="W12" s="339">
        <v>107</v>
      </c>
      <c r="X12" s="336">
        <v>5</v>
      </c>
      <c r="Y12" s="392">
        <v>2</v>
      </c>
      <c r="Z12" s="393">
        <v>2</v>
      </c>
      <c r="AA12" s="393"/>
      <c r="AB12" s="393">
        <v>1</v>
      </c>
      <c r="AC12" s="393"/>
      <c r="AD12" s="393"/>
      <c r="AE12" s="394"/>
      <c r="AF12" s="334">
        <v>65</v>
      </c>
      <c r="AG12" s="334">
        <v>2</v>
      </c>
      <c r="AH12" s="335">
        <f>AF12+AG12</f>
        <v>67</v>
      </c>
      <c r="AI12" s="333">
        <v>138</v>
      </c>
      <c r="AJ12" s="334">
        <v>34</v>
      </c>
      <c r="AK12" s="316">
        <f>AI12+AJ12</f>
        <v>172</v>
      </c>
      <c r="AL12" s="334">
        <v>1994</v>
      </c>
      <c r="AM12" s="334">
        <v>183</v>
      </c>
      <c r="AN12" s="336">
        <f>AL12+AM12</f>
        <v>2177</v>
      </c>
      <c r="AO12" s="337">
        <f>AH12+AK12+AN12</f>
        <v>2416</v>
      </c>
      <c r="AP12" s="227"/>
      <c r="AQ12" s="228"/>
      <c r="AR12" s="227"/>
      <c r="AS12" s="228"/>
      <c r="AT12" s="229"/>
      <c r="AU12" s="230"/>
      <c r="AV12" s="230"/>
      <c r="AW12" s="231"/>
      <c r="AX12" s="227"/>
      <c r="AY12" s="228"/>
      <c r="AZ12" s="202"/>
      <c r="BA12" s="202"/>
      <c r="BF12" s="203"/>
      <c r="BG12" s="203"/>
      <c r="BH12" s="203"/>
      <c r="BI12" s="203"/>
      <c r="BJ12" s="203"/>
      <c r="BK12" s="203"/>
      <c r="BO12" s="213"/>
    </row>
    <row r="13" spans="2:67" ht="96.75" customHeight="1" thickBot="1" x14ac:dyDescent="0.3">
      <c r="C13" s="694" t="s">
        <v>128</v>
      </c>
      <c r="D13" s="695"/>
      <c r="E13" s="416">
        <f t="shared" ref="E13:AY13" si="1">SUM(E9:E12)</f>
        <v>232</v>
      </c>
      <c r="F13" s="438">
        <f>SUM(F9:F12)</f>
        <v>221</v>
      </c>
      <c r="G13" s="436">
        <f>SUM(G9:G12)</f>
        <v>154.69999999999999</v>
      </c>
      <c r="H13" s="417">
        <f>SUM(H9:H12)</f>
        <v>105</v>
      </c>
      <c r="I13" s="418">
        <f>SUM(I9:I12)</f>
        <v>2</v>
      </c>
      <c r="J13" s="419">
        <f t="shared" si="1"/>
        <v>58</v>
      </c>
      <c r="K13" s="285">
        <f t="shared" si="1"/>
        <v>469</v>
      </c>
      <c r="L13" s="283">
        <f t="shared" si="1"/>
        <v>78</v>
      </c>
      <c r="M13" s="286">
        <f t="shared" si="1"/>
        <v>547</v>
      </c>
      <c r="N13" s="287">
        <f t="shared" si="1"/>
        <v>2749</v>
      </c>
      <c r="O13" s="283">
        <f t="shared" si="1"/>
        <v>454</v>
      </c>
      <c r="P13" s="284">
        <f t="shared" si="1"/>
        <v>3203</v>
      </c>
      <c r="Q13" s="285">
        <f t="shared" si="1"/>
        <v>6535</v>
      </c>
      <c r="R13" s="283">
        <f t="shared" si="1"/>
        <v>1122</v>
      </c>
      <c r="S13" s="286">
        <f t="shared" si="1"/>
        <v>7657</v>
      </c>
      <c r="T13" s="282">
        <f t="shared" si="1"/>
        <v>11407</v>
      </c>
      <c r="U13" s="289">
        <f t="shared" si="1"/>
        <v>108</v>
      </c>
      <c r="V13" s="290">
        <f t="shared" si="1"/>
        <v>12</v>
      </c>
      <c r="W13" s="290">
        <f t="shared" si="1"/>
        <v>107</v>
      </c>
      <c r="X13" s="450">
        <f t="shared" si="1"/>
        <v>5</v>
      </c>
      <c r="Y13" s="395">
        <f>SUM(Y9:Y12)</f>
        <v>2</v>
      </c>
      <c r="Z13" s="396">
        <f>SUM(Z9:Z12)</f>
        <v>2</v>
      </c>
      <c r="AA13" s="396">
        <f t="shared" ref="AA13:AD13" si="2">SUM(AA9:AA12)</f>
        <v>0</v>
      </c>
      <c r="AB13" s="396">
        <f t="shared" si="2"/>
        <v>1</v>
      </c>
      <c r="AC13" s="396">
        <f t="shared" si="2"/>
        <v>0</v>
      </c>
      <c r="AD13" s="396">
        <f t="shared" si="2"/>
        <v>0</v>
      </c>
      <c r="AE13" s="397"/>
      <c r="AF13" s="287">
        <f t="shared" si="1"/>
        <v>130</v>
      </c>
      <c r="AG13" s="283">
        <f t="shared" si="1"/>
        <v>12</v>
      </c>
      <c r="AH13" s="286">
        <f t="shared" si="1"/>
        <v>142</v>
      </c>
      <c r="AI13" s="285">
        <f t="shared" si="1"/>
        <v>565</v>
      </c>
      <c r="AJ13" s="283">
        <f t="shared" si="1"/>
        <v>85</v>
      </c>
      <c r="AK13" s="286">
        <f t="shared" si="1"/>
        <v>650</v>
      </c>
      <c r="AL13" s="287">
        <f t="shared" si="1"/>
        <v>3762</v>
      </c>
      <c r="AM13" s="283">
        <f t="shared" si="1"/>
        <v>293</v>
      </c>
      <c r="AN13" s="284">
        <f t="shared" si="1"/>
        <v>4055</v>
      </c>
      <c r="AO13" s="282">
        <f t="shared" si="1"/>
        <v>4847</v>
      </c>
      <c r="AP13" s="234" t="e">
        <f t="shared" si="1"/>
        <v>#REF!</v>
      </c>
      <c r="AQ13" s="235">
        <f t="shared" si="1"/>
        <v>360</v>
      </c>
      <c r="AR13" s="234">
        <f t="shared" si="1"/>
        <v>100</v>
      </c>
      <c r="AS13" s="235">
        <f t="shared" si="1"/>
        <v>0</v>
      </c>
      <c r="AT13" s="232">
        <f t="shared" si="1"/>
        <v>0</v>
      </c>
      <c r="AU13" s="236">
        <f t="shared" si="1"/>
        <v>558</v>
      </c>
      <c r="AV13" s="236">
        <f t="shared" si="1"/>
        <v>35712</v>
      </c>
      <c r="AW13" s="233">
        <f t="shared" si="1"/>
        <v>370</v>
      </c>
      <c r="AX13" s="234">
        <f t="shared" si="1"/>
        <v>120</v>
      </c>
      <c r="AY13" s="235">
        <f t="shared" si="1"/>
        <v>0</v>
      </c>
      <c r="AZ13" s="202"/>
      <c r="BA13" s="202"/>
      <c r="BC13" s="203" t="s">
        <v>129</v>
      </c>
      <c r="BD13" s="203" t="s">
        <v>130</v>
      </c>
      <c r="BE13" s="203" t="s">
        <v>131</v>
      </c>
      <c r="BF13" s="203" t="s">
        <v>132</v>
      </c>
      <c r="BG13" s="203" t="s">
        <v>133</v>
      </c>
      <c r="BH13" s="203" t="s">
        <v>134</v>
      </c>
      <c r="BI13" s="203" t="s">
        <v>135</v>
      </c>
      <c r="BJ13" s="203" t="s">
        <v>136</v>
      </c>
      <c r="BK13" s="203" t="s">
        <v>137</v>
      </c>
      <c r="BO13" s="237"/>
    </row>
    <row r="14" spans="2:67" ht="34.5" customHeight="1" thickBot="1" x14ac:dyDescent="0.55000000000000004">
      <c r="E14" s="288"/>
      <c r="F14" s="288"/>
      <c r="G14" s="288"/>
      <c r="H14" s="288"/>
      <c r="I14" s="288"/>
      <c r="J14" s="288"/>
      <c r="K14" s="288"/>
      <c r="L14" s="288"/>
      <c r="M14" s="288"/>
      <c r="N14" s="288"/>
      <c r="O14" s="288"/>
      <c r="P14" s="288"/>
      <c r="Q14" s="288"/>
      <c r="R14" s="288"/>
      <c r="S14" s="288"/>
      <c r="T14" s="288"/>
      <c r="U14" s="288"/>
      <c r="V14" s="288"/>
      <c r="W14" s="288"/>
      <c r="X14" s="288"/>
      <c r="Y14" s="288"/>
      <c r="Z14" s="288"/>
      <c r="AA14" s="288"/>
      <c r="AB14" s="288"/>
      <c r="AC14" s="288"/>
      <c r="AD14" s="288"/>
      <c r="AE14" s="288"/>
      <c r="AF14" s="288"/>
      <c r="AG14" s="288"/>
      <c r="AH14" s="288"/>
      <c r="AI14" s="288"/>
      <c r="AJ14" s="288"/>
      <c r="AK14" s="288"/>
      <c r="AL14" s="288"/>
      <c r="AM14" s="288"/>
      <c r="AN14" s="288"/>
      <c r="AO14" s="288"/>
      <c r="AZ14" s="195"/>
      <c r="BA14" s="202"/>
      <c r="BF14" s="203"/>
      <c r="BG14" s="203"/>
      <c r="BH14" s="203"/>
      <c r="BI14" s="203"/>
      <c r="BJ14" s="203"/>
      <c r="BK14" s="203"/>
    </row>
    <row r="15" spans="2:67" ht="80.099999999999994" customHeight="1" x14ac:dyDescent="0.25">
      <c r="B15" s="705" t="s">
        <v>138</v>
      </c>
      <c r="C15" s="238">
        <v>1</v>
      </c>
      <c r="D15" s="427" t="s">
        <v>1</v>
      </c>
      <c r="E15" s="440">
        <v>120</v>
      </c>
      <c r="F15" s="87">
        <v>115</v>
      </c>
      <c r="G15" s="441">
        <v>46.1</v>
      </c>
      <c r="H15" s="344">
        <f>'ارزیابی و برآورد'!I20</f>
        <v>40</v>
      </c>
      <c r="I15" s="343">
        <f>'ارزیابی و برآورد'!J20</f>
        <v>16</v>
      </c>
      <c r="J15" s="462">
        <v>62</v>
      </c>
      <c r="K15" s="341">
        <f>'ارزیابی و برآورد'!O20</f>
        <v>118</v>
      </c>
      <c r="L15" s="342">
        <f>'ارزیابی و برآورد'!P20</f>
        <v>21</v>
      </c>
      <c r="M15" s="345">
        <f>K15+L15</f>
        <v>139</v>
      </c>
      <c r="N15" s="341">
        <f>'ارزیابی و برآورد'!U20</f>
        <v>1104</v>
      </c>
      <c r="O15" s="342">
        <f>'ارزیابی و برآورد'!V20</f>
        <v>328</v>
      </c>
      <c r="P15" s="343">
        <f>N15+O15</f>
        <v>1432</v>
      </c>
      <c r="Q15" s="344">
        <f>'ارزیابی و برآورد'!AA20</f>
        <v>2490</v>
      </c>
      <c r="R15" s="342">
        <f>'ارزیابی و برآورد'!AB20</f>
        <v>987</v>
      </c>
      <c r="S15" s="343">
        <f>Q15+R15</f>
        <v>3477</v>
      </c>
      <c r="T15" s="424">
        <f>S15+P15+M15</f>
        <v>5048</v>
      </c>
      <c r="U15" s="341">
        <v>55</v>
      </c>
      <c r="V15" s="342">
        <v>36</v>
      </c>
      <c r="W15" s="342">
        <v>55</v>
      </c>
      <c r="X15" s="345">
        <v>19</v>
      </c>
      <c r="Y15" s="398">
        <v>23</v>
      </c>
      <c r="Z15" s="399">
        <v>2</v>
      </c>
      <c r="AA15" s="399">
        <v>1</v>
      </c>
      <c r="AB15" s="399">
        <v>1</v>
      </c>
      <c r="AC15" s="399"/>
      <c r="AD15" s="399"/>
      <c r="AE15" s="400"/>
      <c r="AF15" s="344">
        <v>32</v>
      </c>
      <c r="AG15" s="344">
        <v>5</v>
      </c>
      <c r="AH15" s="345">
        <f>AF15+AG15</f>
        <v>37</v>
      </c>
      <c r="AI15" s="346">
        <v>613</v>
      </c>
      <c r="AJ15" s="347">
        <v>112</v>
      </c>
      <c r="AK15" s="348">
        <f>AI15+AJ15</f>
        <v>725</v>
      </c>
      <c r="AL15" s="347">
        <v>2054</v>
      </c>
      <c r="AM15" s="347">
        <v>604</v>
      </c>
      <c r="AN15" s="349">
        <f>AL15+AM15</f>
        <v>2658</v>
      </c>
      <c r="AO15" s="340">
        <f t="shared" ref="AO15:AO38" si="3">AN15+AK15+AH15</f>
        <v>3420</v>
      </c>
      <c r="AP15" s="240">
        <f t="shared" ref="AP15:AP38" si="4">Q15</f>
        <v>2490</v>
      </c>
      <c r="AQ15" s="241">
        <f>AP15*0.1*0.78</f>
        <v>194.22</v>
      </c>
      <c r="AR15" s="242">
        <v>180</v>
      </c>
      <c r="AS15" s="241">
        <v>40</v>
      </c>
      <c r="AT15" s="243"/>
      <c r="AU15" s="244"/>
      <c r="AV15" s="241">
        <f t="shared" ref="AV15:AV38" si="5">S15</f>
        <v>3477</v>
      </c>
      <c r="AW15" s="241">
        <f>AV15*100*0.64</f>
        <v>222528</v>
      </c>
      <c r="AX15" s="245">
        <v>200</v>
      </c>
      <c r="AY15" s="239">
        <v>50</v>
      </c>
      <c r="AZ15" s="246"/>
      <c r="BA15" s="247"/>
      <c r="BB15" s="248" t="s">
        <v>139</v>
      </c>
      <c r="BC15" s="248"/>
      <c r="BD15" s="248"/>
      <c r="BE15" s="248" t="s">
        <v>140</v>
      </c>
      <c r="BF15" s="249"/>
      <c r="BG15" s="248"/>
      <c r="BH15" s="248"/>
      <c r="BI15" s="248"/>
      <c r="BJ15" s="248"/>
      <c r="BK15" s="248"/>
      <c r="BM15" s="214"/>
      <c r="BO15" s="198"/>
    </row>
    <row r="16" spans="2:67" ht="80.099999999999994" customHeight="1" x14ac:dyDescent="0.25">
      <c r="B16" s="706"/>
      <c r="C16" s="250">
        <v>2</v>
      </c>
      <c r="D16" s="428" t="s">
        <v>12</v>
      </c>
      <c r="E16" s="442">
        <v>249</v>
      </c>
      <c r="F16" s="171">
        <v>245</v>
      </c>
      <c r="G16" s="443">
        <v>128.80000000000001</v>
      </c>
      <c r="H16" s="354">
        <f>'ارزیابی و برآورد'!I21</f>
        <v>22</v>
      </c>
      <c r="I16" s="356">
        <f>'ارزیابی و برآورد'!J21</f>
        <v>16</v>
      </c>
      <c r="J16" s="463">
        <v>10</v>
      </c>
      <c r="K16" s="351">
        <f>'ارزیابی و برآورد'!O21</f>
        <v>360</v>
      </c>
      <c r="L16" s="352">
        <f>'ارزیابی و برآورد'!P21</f>
        <v>23</v>
      </c>
      <c r="M16" s="454">
        <f>K16+L16</f>
        <v>383</v>
      </c>
      <c r="N16" s="351">
        <f>'ارزیابی و برآورد'!U21</f>
        <v>1563</v>
      </c>
      <c r="O16" s="352">
        <f>'ارزیابی و برآورد'!V21</f>
        <v>143</v>
      </c>
      <c r="P16" s="356">
        <f>N16+O16</f>
        <v>1706</v>
      </c>
      <c r="Q16" s="354">
        <f>'ارزیابی و برآورد'!AA21</f>
        <v>4073</v>
      </c>
      <c r="R16" s="352">
        <f>'ارزیابی و برآورد'!AB21</f>
        <v>374</v>
      </c>
      <c r="S16" s="356">
        <f>Q16+R16</f>
        <v>4447</v>
      </c>
      <c r="T16" s="467">
        <f>S16+P16+M16</f>
        <v>6536</v>
      </c>
      <c r="U16" s="351">
        <v>38</v>
      </c>
      <c r="V16" s="352">
        <v>10</v>
      </c>
      <c r="W16" s="352">
        <v>38</v>
      </c>
      <c r="X16" s="454">
        <v>5</v>
      </c>
      <c r="Y16" s="401">
        <v>4</v>
      </c>
      <c r="Z16" s="402">
        <v>2</v>
      </c>
      <c r="AA16" s="402"/>
      <c r="AB16" s="402">
        <v>1</v>
      </c>
      <c r="AC16" s="402">
        <v>1</v>
      </c>
      <c r="AD16" s="402"/>
      <c r="AE16" s="403"/>
      <c r="AF16" s="357">
        <v>62</v>
      </c>
      <c r="AG16" s="357">
        <v>2</v>
      </c>
      <c r="AH16" s="355">
        <f t="shared" ref="AH16:AH38" si="6">AF16+AG16</f>
        <v>64</v>
      </c>
      <c r="AI16" s="358">
        <v>400</v>
      </c>
      <c r="AJ16" s="357">
        <v>18</v>
      </c>
      <c r="AK16" s="353">
        <f t="shared" ref="AK16:AK38" si="7">AI16+AJ16</f>
        <v>418</v>
      </c>
      <c r="AL16" s="357">
        <v>2871</v>
      </c>
      <c r="AM16" s="357">
        <v>147</v>
      </c>
      <c r="AN16" s="356">
        <f t="shared" ref="AN16:AN38" si="8">AL16+AM16</f>
        <v>3018</v>
      </c>
      <c r="AO16" s="350">
        <f t="shared" si="3"/>
        <v>3500</v>
      </c>
      <c r="AP16" s="218">
        <f t="shared" si="4"/>
        <v>4073</v>
      </c>
      <c r="AQ16" s="219">
        <f>AP16*0.1*0.78</f>
        <v>317.69400000000002</v>
      </c>
      <c r="AR16" s="220">
        <v>190</v>
      </c>
      <c r="AS16" s="219">
        <v>80</v>
      </c>
      <c r="AT16" s="201"/>
      <c r="AV16" s="207">
        <f t="shared" si="5"/>
        <v>4447</v>
      </c>
      <c r="AW16" s="207">
        <f t="shared" ref="AW16:AW38" si="9">AV16*100*0.64</f>
        <v>284608</v>
      </c>
      <c r="AX16" s="221">
        <v>170</v>
      </c>
      <c r="AY16" s="251">
        <v>70</v>
      </c>
      <c r="AZ16" s="252"/>
      <c r="BA16" s="247"/>
      <c r="BB16" s="253" t="s">
        <v>12</v>
      </c>
      <c r="BC16" s="253"/>
      <c r="BD16" s="253"/>
      <c r="BE16" s="253" t="s">
        <v>140</v>
      </c>
      <c r="BF16" s="253"/>
      <c r="BG16" s="253"/>
      <c r="BH16" s="253"/>
      <c r="BI16" s="253" t="s">
        <v>140</v>
      </c>
      <c r="BJ16" s="253"/>
      <c r="BK16" s="253"/>
      <c r="BM16" s="214"/>
      <c r="BO16" s="200"/>
    </row>
    <row r="17" spans="2:67" ht="80.099999999999994" customHeight="1" x14ac:dyDescent="0.25">
      <c r="B17" s="706"/>
      <c r="C17" s="212">
        <v>3</v>
      </c>
      <c r="D17" s="429" t="s">
        <v>6</v>
      </c>
      <c r="E17" s="444">
        <v>189</v>
      </c>
      <c r="F17" s="439">
        <v>189</v>
      </c>
      <c r="G17" s="445">
        <v>116.6</v>
      </c>
      <c r="H17" s="328">
        <f>'ارزیابی و برآورد'!I22</f>
        <v>59</v>
      </c>
      <c r="I17" s="325">
        <f>'ارزیابی و برآورد'!J22</f>
        <v>23</v>
      </c>
      <c r="J17" s="464">
        <v>0</v>
      </c>
      <c r="K17" s="327">
        <f>'ارزیابی و برآورد'!O22</f>
        <v>350</v>
      </c>
      <c r="L17" s="330">
        <f>'ارزیابی و برآورد'!P22</f>
        <v>22</v>
      </c>
      <c r="M17" s="329">
        <f t="shared" ref="M17:M38" si="10">K17+L17</f>
        <v>372</v>
      </c>
      <c r="N17" s="327">
        <f>'ارزیابی و برآورد'!U22</f>
        <v>699</v>
      </c>
      <c r="O17" s="330">
        <f>'ارزیابی و برآورد'!V22</f>
        <v>66</v>
      </c>
      <c r="P17" s="325">
        <f t="shared" ref="P17:P38" si="11">N17+O17</f>
        <v>765</v>
      </c>
      <c r="Q17" s="328">
        <f>'ارزیابی و برآورد'!AA22</f>
        <v>1351</v>
      </c>
      <c r="R17" s="330">
        <f>'ارزیابی و برآورد'!AB22</f>
        <v>222</v>
      </c>
      <c r="S17" s="325">
        <f t="shared" ref="S17:S38" si="12">Q17+R17</f>
        <v>1573</v>
      </c>
      <c r="T17" s="409">
        <f t="shared" ref="T17:T38" si="13">S17+P17+M17</f>
        <v>2710</v>
      </c>
      <c r="U17" s="313">
        <v>92</v>
      </c>
      <c r="V17" s="314">
        <v>0</v>
      </c>
      <c r="W17" s="314">
        <v>83</v>
      </c>
      <c r="X17" s="312">
        <v>0</v>
      </c>
      <c r="Y17" s="389"/>
      <c r="Z17" s="390"/>
      <c r="AA17" s="390"/>
      <c r="AB17" s="390"/>
      <c r="AC17" s="390"/>
      <c r="AD17" s="390"/>
      <c r="AE17" s="391"/>
      <c r="AF17" s="311">
        <v>154</v>
      </c>
      <c r="AG17" s="311">
        <v>4</v>
      </c>
      <c r="AH17" s="312">
        <f t="shared" si="6"/>
        <v>158</v>
      </c>
      <c r="AI17" s="313">
        <v>415</v>
      </c>
      <c r="AJ17" s="311">
        <v>18</v>
      </c>
      <c r="AK17" s="308">
        <f t="shared" si="7"/>
        <v>433</v>
      </c>
      <c r="AL17" s="311">
        <v>1223</v>
      </c>
      <c r="AM17" s="311">
        <v>226</v>
      </c>
      <c r="AN17" s="360">
        <f t="shared" si="8"/>
        <v>1449</v>
      </c>
      <c r="AO17" s="326">
        <f t="shared" si="3"/>
        <v>2040</v>
      </c>
      <c r="AP17" s="206">
        <f t="shared" si="4"/>
        <v>1351</v>
      </c>
      <c r="AQ17" s="207">
        <f t="shared" ref="AQ17:AQ38" si="14">AP17*0.1*0.78</f>
        <v>105.378</v>
      </c>
      <c r="AR17" s="217">
        <v>70</v>
      </c>
      <c r="AS17" s="207">
        <v>40</v>
      </c>
      <c r="AT17" s="201"/>
      <c r="AV17" s="207">
        <f t="shared" si="5"/>
        <v>1573</v>
      </c>
      <c r="AW17" s="207">
        <f t="shared" si="9"/>
        <v>100672</v>
      </c>
      <c r="AX17" s="254">
        <v>70</v>
      </c>
      <c r="AY17" s="216">
        <v>30</v>
      </c>
      <c r="AZ17" s="252"/>
      <c r="BA17" s="247"/>
      <c r="BB17" s="248" t="s">
        <v>6</v>
      </c>
      <c r="BC17" s="248" t="s">
        <v>140</v>
      </c>
      <c r="BD17" s="248"/>
      <c r="BE17" s="248" t="s">
        <v>140</v>
      </c>
      <c r="BF17" s="248" t="s">
        <v>140</v>
      </c>
      <c r="BG17" s="248"/>
      <c r="BH17" s="248"/>
      <c r="BI17" s="248"/>
      <c r="BJ17" s="255" t="s">
        <v>141</v>
      </c>
      <c r="BK17" s="248" t="s">
        <v>140</v>
      </c>
      <c r="BM17" s="214"/>
      <c r="BO17" s="213"/>
    </row>
    <row r="18" spans="2:67" ht="80.099999999999994" customHeight="1" x14ac:dyDescent="0.25">
      <c r="B18" s="706"/>
      <c r="C18" s="250">
        <v>4</v>
      </c>
      <c r="D18" s="428" t="s">
        <v>22</v>
      </c>
      <c r="E18" s="442">
        <v>138</v>
      </c>
      <c r="F18" s="171">
        <v>128</v>
      </c>
      <c r="G18" s="443">
        <v>68.099999999999994</v>
      </c>
      <c r="H18" s="354">
        <f>'ارزیابی و برآورد'!I23</f>
        <v>59</v>
      </c>
      <c r="I18" s="356">
        <f>'ارزیابی و برآورد'!J23</f>
        <v>6</v>
      </c>
      <c r="J18" s="463">
        <v>23</v>
      </c>
      <c r="K18" s="351">
        <f>'ارزیابی و برآورد'!O23</f>
        <v>351</v>
      </c>
      <c r="L18" s="352">
        <f>'ارزیابی و برآورد'!P23</f>
        <v>5</v>
      </c>
      <c r="M18" s="454">
        <f t="shared" si="10"/>
        <v>356</v>
      </c>
      <c r="N18" s="351">
        <f>'ارزیابی و برآورد'!U23</f>
        <v>3662</v>
      </c>
      <c r="O18" s="352">
        <f>'ارزیابی و برآورد'!V23</f>
        <v>264</v>
      </c>
      <c r="P18" s="356">
        <f t="shared" si="11"/>
        <v>3926</v>
      </c>
      <c r="Q18" s="354">
        <f>'ارزیابی و برآورد'!AA23</f>
        <v>2496</v>
      </c>
      <c r="R18" s="352">
        <f>'ارزیابی و برآورد'!AB23</f>
        <v>404</v>
      </c>
      <c r="S18" s="356">
        <f t="shared" si="12"/>
        <v>2900</v>
      </c>
      <c r="T18" s="467">
        <f t="shared" si="13"/>
        <v>7182</v>
      </c>
      <c r="U18" s="351">
        <v>53</v>
      </c>
      <c r="V18" s="352">
        <v>31</v>
      </c>
      <c r="W18" s="352">
        <v>65</v>
      </c>
      <c r="X18" s="454">
        <v>31</v>
      </c>
      <c r="Y18" s="401">
        <v>17</v>
      </c>
      <c r="Z18" s="402">
        <v>6</v>
      </c>
      <c r="AA18" s="402">
        <v>5</v>
      </c>
      <c r="AB18" s="402">
        <v>5</v>
      </c>
      <c r="AC18" s="402">
        <v>2</v>
      </c>
      <c r="AD18" s="402">
        <v>1</v>
      </c>
      <c r="AE18" s="403"/>
      <c r="AF18" s="357">
        <v>22</v>
      </c>
      <c r="AG18" s="357">
        <v>2</v>
      </c>
      <c r="AH18" s="355">
        <f t="shared" si="6"/>
        <v>24</v>
      </c>
      <c r="AI18" s="358">
        <v>843</v>
      </c>
      <c r="AJ18" s="357">
        <v>9</v>
      </c>
      <c r="AK18" s="353">
        <f t="shared" si="7"/>
        <v>852</v>
      </c>
      <c r="AL18" s="357">
        <v>2444</v>
      </c>
      <c r="AM18" s="357">
        <v>236</v>
      </c>
      <c r="AN18" s="356">
        <f t="shared" si="8"/>
        <v>2680</v>
      </c>
      <c r="AO18" s="350">
        <f t="shared" si="3"/>
        <v>3556</v>
      </c>
      <c r="AP18" s="218">
        <f t="shared" si="4"/>
        <v>2496</v>
      </c>
      <c r="AQ18" s="219">
        <f t="shared" si="14"/>
        <v>194.68800000000002</v>
      </c>
      <c r="AR18" s="220">
        <v>130</v>
      </c>
      <c r="AS18" s="219">
        <v>50</v>
      </c>
      <c r="AT18" s="205" t="s">
        <v>142</v>
      </c>
      <c r="AV18" s="207">
        <f t="shared" si="5"/>
        <v>2900</v>
      </c>
      <c r="AW18" s="207">
        <f t="shared" si="9"/>
        <v>185600</v>
      </c>
      <c r="AX18" s="221">
        <v>125</v>
      </c>
      <c r="AY18" s="251">
        <v>40</v>
      </c>
      <c r="AZ18" s="252"/>
      <c r="BA18" s="247"/>
      <c r="BB18" s="253" t="s">
        <v>22</v>
      </c>
      <c r="BC18" s="256" t="s">
        <v>141</v>
      </c>
      <c r="BD18" s="253" t="s">
        <v>140</v>
      </c>
      <c r="BE18" s="253"/>
      <c r="BF18" s="256" t="s">
        <v>141</v>
      </c>
      <c r="BG18" s="253" t="s">
        <v>140</v>
      </c>
      <c r="BH18" s="253"/>
      <c r="BI18" s="253"/>
      <c r="BJ18" s="253" t="s">
        <v>140</v>
      </c>
      <c r="BK18" s="253"/>
      <c r="BM18" s="214"/>
      <c r="BO18" s="200"/>
    </row>
    <row r="19" spans="2:67" ht="80.099999999999994" customHeight="1" x14ac:dyDescent="0.25">
      <c r="B19" s="706"/>
      <c r="C19" s="212">
        <v>5</v>
      </c>
      <c r="D19" s="429" t="s">
        <v>19</v>
      </c>
      <c r="E19" s="444">
        <v>68</v>
      </c>
      <c r="F19" s="439">
        <v>60</v>
      </c>
      <c r="G19" s="445">
        <v>36</v>
      </c>
      <c r="H19" s="328">
        <f>'ارزیابی و برآورد'!I24</f>
        <v>9</v>
      </c>
      <c r="I19" s="325">
        <f>'ارزیابی و برآورد'!J24</f>
        <v>0</v>
      </c>
      <c r="J19" s="464">
        <v>4</v>
      </c>
      <c r="K19" s="327">
        <f>'ارزیابی و برآورد'!O24</f>
        <v>156</v>
      </c>
      <c r="L19" s="330">
        <f>'ارزیابی و برآورد'!P24</f>
        <v>15</v>
      </c>
      <c r="M19" s="329">
        <f t="shared" si="10"/>
        <v>171</v>
      </c>
      <c r="N19" s="327">
        <f>'ارزیابی و برآورد'!U24</f>
        <v>33</v>
      </c>
      <c r="O19" s="330">
        <f>'ارزیابی و برآورد'!V24</f>
        <v>3</v>
      </c>
      <c r="P19" s="325">
        <f t="shared" si="11"/>
        <v>36</v>
      </c>
      <c r="Q19" s="328">
        <f>'ارزیابی و برآورد'!AA24</f>
        <v>81</v>
      </c>
      <c r="R19" s="330">
        <f>'ارزیابی و برآورد'!AB24</f>
        <v>3</v>
      </c>
      <c r="S19" s="325">
        <f t="shared" si="12"/>
        <v>84</v>
      </c>
      <c r="T19" s="409">
        <f t="shared" si="13"/>
        <v>291</v>
      </c>
      <c r="U19" s="313">
        <v>9</v>
      </c>
      <c r="V19" s="314">
        <v>9</v>
      </c>
      <c r="W19" s="314">
        <v>9</v>
      </c>
      <c r="X19" s="312">
        <v>9</v>
      </c>
      <c r="Y19" s="389"/>
      <c r="Z19" s="390"/>
      <c r="AA19" s="390"/>
      <c r="AB19" s="390"/>
      <c r="AC19" s="390"/>
      <c r="AD19" s="390"/>
      <c r="AE19" s="391"/>
      <c r="AF19" s="311">
        <v>22</v>
      </c>
      <c r="AG19" s="311">
        <v>3</v>
      </c>
      <c r="AH19" s="312">
        <f t="shared" si="6"/>
        <v>25</v>
      </c>
      <c r="AI19" s="313">
        <v>33</v>
      </c>
      <c r="AJ19" s="311">
        <v>1</v>
      </c>
      <c r="AK19" s="308">
        <f t="shared" si="7"/>
        <v>34</v>
      </c>
      <c r="AL19" s="311">
        <v>72</v>
      </c>
      <c r="AM19" s="311">
        <v>0</v>
      </c>
      <c r="AN19" s="360">
        <f t="shared" si="8"/>
        <v>72</v>
      </c>
      <c r="AO19" s="326">
        <f t="shared" si="3"/>
        <v>131</v>
      </c>
      <c r="AP19" s="206">
        <f t="shared" si="4"/>
        <v>81</v>
      </c>
      <c r="AQ19" s="207">
        <f t="shared" si="14"/>
        <v>6.3179999999999996</v>
      </c>
      <c r="AR19" s="217">
        <v>20</v>
      </c>
      <c r="AS19" s="207">
        <v>0</v>
      </c>
      <c r="AT19" s="201"/>
      <c r="AV19" s="207">
        <f t="shared" si="5"/>
        <v>84</v>
      </c>
      <c r="AW19" s="207">
        <f t="shared" si="9"/>
        <v>5376</v>
      </c>
      <c r="AX19" s="254">
        <v>20</v>
      </c>
      <c r="AY19" s="216">
        <v>0</v>
      </c>
      <c r="AZ19" s="252"/>
      <c r="BA19" s="247"/>
      <c r="BB19" s="248" t="s">
        <v>19</v>
      </c>
      <c r="BC19" s="248"/>
      <c r="BD19" s="248"/>
      <c r="BE19" s="248"/>
      <c r="BF19" s="248"/>
      <c r="BG19" s="248"/>
      <c r="BH19" s="248"/>
      <c r="BI19" s="248"/>
      <c r="BJ19" s="248"/>
      <c r="BK19" s="248"/>
      <c r="BM19" s="214"/>
      <c r="BO19" s="200"/>
    </row>
    <row r="20" spans="2:67" ht="80.099999999999994" customHeight="1" x14ac:dyDescent="0.25">
      <c r="B20" s="706"/>
      <c r="C20" s="250">
        <v>6</v>
      </c>
      <c r="D20" s="428" t="s">
        <v>15</v>
      </c>
      <c r="E20" s="442">
        <v>0</v>
      </c>
      <c r="F20" s="171">
        <v>0</v>
      </c>
      <c r="G20" s="443">
        <v>0</v>
      </c>
      <c r="H20" s="354">
        <f>'ارزیابی و برآورد'!I25</f>
        <v>0</v>
      </c>
      <c r="I20" s="356">
        <f>'ارزیابی و برآورد'!J25</f>
        <v>0</v>
      </c>
      <c r="J20" s="463">
        <v>0</v>
      </c>
      <c r="K20" s="351">
        <f>'ارزیابی و برآورد'!O25</f>
        <v>0</v>
      </c>
      <c r="L20" s="352">
        <f>'ارزیابی و برآورد'!P25</f>
        <v>0</v>
      </c>
      <c r="M20" s="454">
        <f t="shared" si="10"/>
        <v>0</v>
      </c>
      <c r="N20" s="351">
        <f>'ارزیابی و برآورد'!U25</f>
        <v>21</v>
      </c>
      <c r="O20" s="352">
        <f>'ارزیابی و برآورد'!V25</f>
        <v>0</v>
      </c>
      <c r="P20" s="356">
        <f t="shared" si="11"/>
        <v>21</v>
      </c>
      <c r="Q20" s="354">
        <f>'ارزیابی و برآورد'!AA25</f>
        <v>42</v>
      </c>
      <c r="R20" s="352">
        <f>'ارزیابی و برآورد'!AB25</f>
        <v>0</v>
      </c>
      <c r="S20" s="356">
        <f t="shared" si="12"/>
        <v>42</v>
      </c>
      <c r="T20" s="467">
        <f t="shared" si="13"/>
        <v>63</v>
      </c>
      <c r="U20" s="420">
        <v>0</v>
      </c>
      <c r="V20" s="421">
        <v>0</v>
      </c>
      <c r="W20" s="421">
        <v>0</v>
      </c>
      <c r="X20" s="421">
        <v>0</v>
      </c>
      <c r="Y20" s="457" t="s">
        <v>158</v>
      </c>
      <c r="Z20" s="455"/>
      <c r="AA20" s="455"/>
      <c r="AB20" s="455"/>
      <c r="AC20" s="455"/>
      <c r="AD20" s="455"/>
      <c r="AE20" s="458"/>
      <c r="AF20" s="357">
        <v>0</v>
      </c>
      <c r="AG20" s="357">
        <v>0</v>
      </c>
      <c r="AH20" s="355">
        <f t="shared" si="6"/>
        <v>0</v>
      </c>
      <c r="AI20" s="358">
        <v>21</v>
      </c>
      <c r="AJ20" s="357">
        <v>0</v>
      </c>
      <c r="AK20" s="353">
        <f t="shared" si="7"/>
        <v>21</v>
      </c>
      <c r="AL20" s="357">
        <v>42</v>
      </c>
      <c r="AM20" s="357">
        <v>0</v>
      </c>
      <c r="AN20" s="356">
        <f t="shared" si="8"/>
        <v>42</v>
      </c>
      <c r="AO20" s="350">
        <f t="shared" si="3"/>
        <v>63</v>
      </c>
      <c r="AP20" s="218">
        <f t="shared" si="4"/>
        <v>42</v>
      </c>
      <c r="AQ20" s="219">
        <f t="shared" si="14"/>
        <v>3.2760000000000002</v>
      </c>
      <c r="AR20" s="220">
        <v>10</v>
      </c>
      <c r="AS20" s="219">
        <v>0</v>
      </c>
      <c r="AT20" s="201"/>
      <c r="AV20" s="207">
        <f t="shared" si="5"/>
        <v>42</v>
      </c>
      <c r="AW20" s="207">
        <f t="shared" si="9"/>
        <v>2688</v>
      </c>
      <c r="AX20" s="221">
        <v>10</v>
      </c>
      <c r="AY20" s="251">
        <v>0</v>
      </c>
      <c r="AZ20" s="252"/>
      <c r="BA20" s="247"/>
      <c r="BB20" s="253" t="s">
        <v>15</v>
      </c>
      <c r="BC20" s="253" t="s">
        <v>140</v>
      </c>
      <c r="BD20" s="253"/>
      <c r="BE20" s="253"/>
      <c r="BF20" s="253"/>
      <c r="BG20" s="253"/>
      <c r="BH20" s="253"/>
      <c r="BI20" s="253"/>
      <c r="BJ20" s="253"/>
      <c r="BK20" s="253"/>
      <c r="BO20" s="200"/>
    </row>
    <row r="21" spans="2:67" ht="80.099999999999994" customHeight="1" x14ac:dyDescent="0.25">
      <c r="B21" s="706"/>
      <c r="C21" s="212">
        <v>7</v>
      </c>
      <c r="D21" s="429" t="s">
        <v>5</v>
      </c>
      <c r="E21" s="444">
        <v>265</v>
      </c>
      <c r="F21" s="439">
        <v>256</v>
      </c>
      <c r="G21" s="445">
        <v>142.80000000000001</v>
      </c>
      <c r="H21" s="328">
        <f>'ارزیابی و برآورد'!I26</f>
        <v>50</v>
      </c>
      <c r="I21" s="325">
        <f>'ارزیابی و برآورد'!J26</f>
        <v>11</v>
      </c>
      <c r="J21" s="464">
        <v>48</v>
      </c>
      <c r="K21" s="327">
        <f>'ارزیابی و برآورد'!O26</f>
        <v>236</v>
      </c>
      <c r="L21" s="330">
        <f>'ارزیابی و برآورد'!P26</f>
        <v>31</v>
      </c>
      <c r="M21" s="329">
        <f t="shared" si="10"/>
        <v>267</v>
      </c>
      <c r="N21" s="327">
        <f>'ارزیابی و برآورد'!U26</f>
        <v>969</v>
      </c>
      <c r="O21" s="330">
        <f>'ارزیابی و برآورد'!V26</f>
        <v>86</v>
      </c>
      <c r="P21" s="325">
        <f t="shared" si="11"/>
        <v>1055</v>
      </c>
      <c r="Q21" s="328">
        <f>'ارزیابی و برآورد'!AA26</f>
        <v>8520</v>
      </c>
      <c r="R21" s="330">
        <f>'ارزیابی و برآورد'!AB26</f>
        <v>1272</v>
      </c>
      <c r="S21" s="325">
        <f t="shared" si="12"/>
        <v>9792</v>
      </c>
      <c r="T21" s="409">
        <f t="shared" si="13"/>
        <v>11114</v>
      </c>
      <c r="U21" s="313">
        <v>59</v>
      </c>
      <c r="V21" s="314">
        <v>25</v>
      </c>
      <c r="W21" s="314">
        <v>61</v>
      </c>
      <c r="X21" s="312">
        <v>25</v>
      </c>
      <c r="Y21" s="389">
        <v>3</v>
      </c>
      <c r="Z21" s="390">
        <v>3</v>
      </c>
      <c r="AA21" s="390"/>
      <c r="AB21" s="390">
        <v>3</v>
      </c>
      <c r="AC21" s="390">
        <v>3</v>
      </c>
      <c r="AD21" s="390"/>
      <c r="AE21" s="391"/>
      <c r="AF21" s="311">
        <v>78</v>
      </c>
      <c r="AG21" s="311">
        <v>21</v>
      </c>
      <c r="AH21" s="312">
        <f t="shared" si="6"/>
        <v>99</v>
      </c>
      <c r="AI21" s="313">
        <v>463</v>
      </c>
      <c r="AJ21" s="311">
        <v>48</v>
      </c>
      <c r="AK21" s="308">
        <f t="shared" si="7"/>
        <v>511</v>
      </c>
      <c r="AL21" s="311">
        <v>7119</v>
      </c>
      <c r="AM21" s="311">
        <v>874</v>
      </c>
      <c r="AN21" s="360">
        <f t="shared" si="8"/>
        <v>7993</v>
      </c>
      <c r="AO21" s="326">
        <f t="shared" si="3"/>
        <v>8603</v>
      </c>
      <c r="AP21" s="206">
        <f t="shared" si="4"/>
        <v>8520</v>
      </c>
      <c r="AQ21" s="207">
        <f t="shared" si="14"/>
        <v>664.56000000000006</v>
      </c>
      <c r="AR21" s="217">
        <v>320</v>
      </c>
      <c r="AS21" s="207">
        <v>0</v>
      </c>
      <c r="AT21" s="201"/>
      <c r="AV21" s="207">
        <f t="shared" si="5"/>
        <v>9792</v>
      </c>
      <c r="AW21" s="207">
        <f t="shared" si="9"/>
        <v>626688</v>
      </c>
      <c r="AX21" s="254">
        <v>320</v>
      </c>
      <c r="AY21" s="216">
        <v>0</v>
      </c>
      <c r="AZ21" s="252"/>
      <c r="BA21" s="247"/>
      <c r="BB21" s="248" t="s">
        <v>5</v>
      </c>
      <c r="BC21" s="248"/>
      <c r="BD21" s="248"/>
      <c r="BE21" s="248"/>
      <c r="BF21" s="248"/>
      <c r="BG21" s="248" t="s">
        <v>140</v>
      </c>
      <c r="BH21" s="248"/>
      <c r="BI21" s="248"/>
      <c r="BJ21" s="255" t="s">
        <v>141</v>
      </c>
      <c r="BK21" s="248" t="s">
        <v>140</v>
      </c>
      <c r="BO21" s="213"/>
    </row>
    <row r="22" spans="2:67" ht="80.099999999999994" customHeight="1" x14ac:dyDescent="0.25">
      <c r="B22" s="706"/>
      <c r="C22" s="250">
        <v>8</v>
      </c>
      <c r="D22" s="428" t="s">
        <v>4</v>
      </c>
      <c r="E22" s="442">
        <v>309</v>
      </c>
      <c r="F22" s="171">
        <v>279</v>
      </c>
      <c r="G22" s="443">
        <v>154</v>
      </c>
      <c r="H22" s="354">
        <f>'ارزیابی و برآورد'!I27</f>
        <v>155</v>
      </c>
      <c r="I22" s="356">
        <f>'ارزیابی و برآورد'!J27</f>
        <v>27</v>
      </c>
      <c r="J22" s="463">
        <v>47</v>
      </c>
      <c r="K22" s="351">
        <f>'ارزیابی و برآورد'!O27</f>
        <v>403</v>
      </c>
      <c r="L22" s="352">
        <f>'ارزیابی و برآورد'!P27</f>
        <v>65</v>
      </c>
      <c r="M22" s="454">
        <f t="shared" si="10"/>
        <v>468</v>
      </c>
      <c r="N22" s="351">
        <f>'ارزیابی و برآورد'!U27</f>
        <v>4724</v>
      </c>
      <c r="O22" s="352">
        <f>'ارزیابی و برآورد'!V27</f>
        <v>410</v>
      </c>
      <c r="P22" s="356">
        <f t="shared" si="11"/>
        <v>5134</v>
      </c>
      <c r="Q22" s="354">
        <f>'ارزیابی و برآورد'!AA27</f>
        <v>4459</v>
      </c>
      <c r="R22" s="352">
        <f>'ارزیابی و برآورد'!AB27</f>
        <v>705</v>
      </c>
      <c r="S22" s="356">
        <f t="shared" si="12"/>
        <v>5164</v>
      </c>
      <c r="T22" s="467">
        <f t="shared" si="13"/>
        <v>10766</v>
      </c>
      <c r="U22" s="351">
        <v>182</v>
      </c>
      <c r="V22" s="352">
        <v>8</v>
      </c>
      <c r="W22" s="352">
        <v>123</v>
      </c>
      <c r="X22" s="454">
        <v>4</v>
      </c>
      <c r="Y22" s="401">
        <v>10</v>
      </c>
      <c r="Z22" s="402"/>
      <c r="AA22" s="402"/>
      <c r="AB22" s="402"/>
      <c r="AC22" s="402"/>
      <c r="AD22" s="402"/>
      <c r="AE22" s="403"/>
      <c r="AF22" s="357">
        <v>252</v>
      </c>
      <c r="AG22" s="357">
        <v>38</v>
      </c>
      <c r="AH22" s="355">
        <f t="shared" si="6"/>
        <v>290</v>
      </c>
      <c r="AI22" s="358">
        <v>3255</v>
      </c>
      <c r="AJ22" s="357">
        <v>239</v>
      </c>
      <c r="AK22" s="353">
        <f t="shared" si="7"/>
        <v>3494</v>
      </c>
      <c r="AL22" s="357">
        <v>4212</v>
      </c>
      <c r="AM22" s="357">
        <v>577</v>
      </c>
      <c r="AN22" s="356">
        <f t="shared" si="8"/>
        <v>4789</v>
      </c>
      <c r="AO22" s="350">
        <f t="shared" si="3"/>
        <v>8573</v>
      </c>
      <c r="AP22" s="218">
        <f t="shared" si="4"/>
        <v>4459</v>
      </c>
      <c r="AQ22" s="219">
        <f t="shared" si="14"/>
        <v>347.80200000000002</v>
      </c>
      <c r="AR22" s="220">
        <v>320</v>
      </c>
      <c r="AS22" s="219">
        <v>70</v>
      </c>
      <c r="AT22" s="201"/>
      <c r="AV22" s="207">
        <f t="shared" si="5"/>
        <v>5164</v>
      </c>
      <c r="AW22" s="207">
        <f t="shared" si="9"/>
        <v>330496</v>
      </c>
      <c r="AX22" s="221">
        <v>320</v>
      </c>
      <c r="AY22" s="251">
        <v>70</v>
      </c>
      <c r="AZ22" s="252"/>
      <c r="BA22" s="247"/>
      <c r="BB22" s="253" t="s">
        <v>4</v>
      </c>
      <c r="BC22" s="253"/>
      <c r="BD22" s="253"/>
      <c r="BE22" s="253"/>
      <c r="BF22" s="253"/>
      <c r="BG22" s="253"/>
      <c r="BH22" s="253"/>
      <c r="BI22" s="253"/>
      <c r="BJ22" s="253"/>
      <c r="BK22" s="253"/>
      <c r="BO22" s="213"/>
    </row>
    <row r="23" spans="2:67" ht="80.099999999999994" customHeight="1" x14ac:dyDescent="0.25">
      <c r="B23" s="706"/>
      <c r="C23" s="212">
        <v>9</v>
      </c>
      <c r="D23" s="429" t="s">
        <v>7</v>
      </c>
      <c r="E23" s="444">
        <v>107</v>
      </c>
      <c r="F23" s="439">
        <v>95</v>
      </c>
      <c r="G23" s="445">
        <v>44.7</v>
      </c>
      <c r="H23" s="328">
        <f>'ارزیابی و برآورد'!I28</f>
        <v>57</v>
      </c>
      <c r="I23" s="325">
        <f>'ارزیابی و برآورد'!J28</f>
        <v>21</v>
      </c>
      <c r="J23" s="464">
        <v>40</v>
      </c>
      <c r="K23" s="327">
        <f>'ارزیابی و برآورد'!O28</f>
        <v>606</v>
      </c>
      <c r="L23" s="330">
        <f>'ارزیابی و برآورد'!P28</f>
        <v>121</v>
      </c>
      <c r="M23" s="329">
        <f t="shared" si="10"/>
        <v>727</v>
      </c>
      <c r="N23" s="327">
        <f>'ارزیابی و برآورد'!U28</f>
        <v>1133</v>
      </c>
      <c r="O23" s="330">
        <f>'ارزیابی و برآورد'!V28</f>
        <v>231</v>
      </c>
      <c r="P23" s="325">
        <f t="shared" si="11"/>
        <v>1364</v>
      </c>
      <c r="Q23" s="328">
        <f>'ارزیابی و برآورد'!AA28</f>
        <v>5612</v>
      </c>
      <c r="R23" s="330">
        <f>'ارزیابی و برآورد'!AB28</f>
        <v>1547</v>
      </c>
      <c r="S23" s="325">
        <f t="shared" si="12"/>
        <v>7159</v>
      </c>
      <c r="T23" s="409">
        <f t="shared" si="13"/>
        <v>9250</v>
      </c>
      <c r="U23" s="313">
        <v>78</v>
      </c>
      <c r="V23" s="314">
        <v>15</v>
      </c>
      <c r="W23" s="314">
        <v>78</v>
      </c>
      <c r="X23" s="312">
        <v>12</v>
      </c>
      <c r="Y23" s="389">
        <v>18</v>
      </c>
      <c r="Z23" s="390">
        <v>6</v>
      </c>
      <c r="AA23" s="390">
        <v>5</v>
      </c>
      <c r="AB23" s="390">
        <v>1</v>
      </c>
      <c r="AC23" s="390">
        <v>5</v>
      </c>
      <c r="AD23" s="390">
        <v>4</v>
      </c>
      <c r="AE23" s="391"/>
      <c r="AF23" s="311">
        <v>193</v>
      </c>
      <c r="AG23" s="311">
        <v>6</v>
      </c>
      <c r="AH23" s="312">
        <f t="shared" si="6"/>
        <v>199</v>
      </c>
      <c r="AI23" s="313">
        <v>347</v>
      </c>
      <c r="AJ23" s="311">
        <v>30</v>
      </c>
      <c r="AK23" s="308">
        <f t="shared" si="7"/>
        <v>377</v>
      </c>
      <c r="AL23" s="311">
        <v>1687</v>
      </c>
      <c r="AM23" s="311">
        <v>341</v>
      </c>
      <c r="AN23" s="360">
        <f t="shared" si="8"/>
        <v>2028</v>
      </c>
      <c r="AO23" s="326">
        <f t="shared" si="3"/>
        <v>2604</v>
      </c>
      <c r="AP23" s="206">
        <f t="shared" si="4"/>
        <v>5612</v>
      </c>
      <c r="AQ23" s="207">
        <f t="shared" si="14"/>
        <v>437.73600000000005</v>
      </c>
      <c r="AR23" s="217">
        <v>320</v>
      </c>
      <c r="AS23" s="207">
        <v>0</v>
      </c>
      <c r="AT23" s="201"/>
      <c r="AV23" s="207">
        <f t="shared" si="5"/>
        <v>7159</v>
      </c>
      <c r="AW23" s="207">
        <f t="shared" si="9"/>
        <v>458176</v>
      </c>
      <c r="AX23" s="254">
        <v>300</v>
      </c>
      <c r="AY23" s="216">
        <v>0</v>
      </c>
      <c r="AZ23" s="252"/>
      <c r="BA23" s="247"/>
      <c r="BB23" s="248" t="s">
        <v>7</v>
      </c>
      <c r="BC23" s="248"/>
      <c r="BD23" s="248"/>
      <c r="BE23" s="248"/>
      <c r="BF23" s="248"/>
      <c r="BG23" s="248"/>
      <c r="BH23" s="248"/>
      <c r="BI23" s="248"/>
      <c r="BJ23" s="248"/>
      <c r="BK23" s="248"/>
      <c r="BO23" s="200"/>
    </row>
    <row r="24" spans="2:67" ht="80.099999999999994" customHeight="1" x14ac:dyDescent="0.25">
      <c r="B24" s="706"/>
      <c r="C24" s="250">
        <v>10</v>
      </c>
      <c r="D24" s="428" t="s">
        <v>3</v>
      </c>
      <c r="E24" s="442">
        <v>6</v>
      </c>
      <c r="F24" s="171">
        <v>6</v>
      </c>
      <c r="G24" s="443">
        <v>4.2</v>
      </c>
      <c r="H24" s="354">
        <f>'ارزیابی و برآورد'!I29</f>
        <v>2</v>
      </c>
      <c r="I24" s="356">
        <f>'ارزیابی و برآورد'!J29</f>
        <v>0</v>
      </c>
      <c r="J24" s="463">
        <v>0</v>
      </c>
      <c r="K24" s="351">
        <f>'ارزیابی و برآورد'!O29</f>
        <v>14</v>
      </c>
      <c r="L24" s="352">
        <f>'ارزیابی و برآورد'!P29</f>
        <v>0</v>
      </c>
      <c r="M24" s="454">
        <f t="shared" si="10"/>
        <v>14</v>
      </c>
      <c r="N24" s="351">
        <f>'ارزیابی و برآورد'!U29</f>
        <v>3194</v>
      </c>
      <c r="O24" s="352">
        <f>'ارزیابی و برآورد'!V29</f>
        <v>368</v>
      </c>
      <c r="P24" s="356">
        <f t="shared" si="11"/>
        <v>3562</v>
      </c>
      <c r="Q24" s="354">
        <f>'ارزیابی و برآورد'!AA29</f>
        <v>2332</v>
      </c>
      <c r="R24" s="352">
        <f>'ارزیابی و برآورد'!AB29</f>
        <v>362</v>
      </c>
      <c r="S24" s="356">
        <f t="shared" si="12"/>
        <v>2694</v>
      </c>
      <c r="T24" s="467">
        <f t="shared" si="13"/>
        <v>6270</v>
      </c>
      <c r="U24" s="351">
        <v>8</v>
      </c>
      <c r="V24" s="352">
        <v>0</v>
      </c>
      <c r="W24" s="352">
        <v>2</v>
      </c>
      <c r="X24" s="454">
        <v>0</v>
      </c>
      <c r="Y24" s="401"/>
      <c r="Z24" s="402"/>
      <c r="AA24" s="402"/>
      <c r="AB24" s="402"/>
      <c r="AC24" s="402"/>
      <c r="AD24" s="402"/>
      <c r="AE24" s="403"/>
      <c r="AF24" s="357">
        <v>4</v>
      </c>
      <c r="AG24" s="357">
        <v>0</v>
      </c>
      <c r="AH24" s="355">
        <f t="shared" si="6"/>
        <v>4</v>
      </c>
      <c r="AI24" s="358">
        <v>2074</v>
      </c>
      <c r="AJ24" s="357">
        <v>194</v>
      </c>
      <c r="AK24" s="353">
        <f t="shared" si="7"/>
        <v>2268</v>
      </c>
      <c r="AL24" s="357">
        <v>1877</v>
      </c>
      <c r="AM24" s="357">
        <v>258</v>
      </c>
      <c r="AN24" s="356">
        <f t="shared" si="8"/>
        <v>2135</v>
      </c>
      <c r="AO24" s="350">
        <f t="shared" si="3"/>
        <v>4407</v>
      </c>
      <c r="AP24" s="218">
        <f t="shared" si="4"/>
        <v>2332</v>
      </c>
      <c r="AQ24" s="219">
        <f t="shared" si="14"/>
        <v>181.89600000000002</v>
      </c>
      <c r="AR24" s="220">
        <v>170</v>
      </c>
      <c r="AS24" s="219">
        <v>155</v>
      </c>
      <c r="AT24" s="201"/>
      <c r="AV24" s="207">
        <f t="shared" si="5"/>
        <v>2694</v>
      </c>
      <c r="AW24" s="207">
        <f t="shared" si="9"/>
        <v>172416</v>
      </c>
      <c r="AX24" s="221">
        <v>170</v>
      </c>
      <c r="AY24" s="251">
        <v>150</v>
      </c>
      <c r="AZ24" s="252"/>
      <c r="BA24" s="247"/>
      <c r="BB24" s="253" t="s">
        <v>3</v>
      </c>
      <c r="BC24" s="253"/>
      <c r="BD24" s="253"/>
      <c r="BE24" s="253"/>
      <c r="BF24" s="253" t="s">
        <v>140</v>
      </c>
      <c r="BG24" s="253"/>
      <c r="BH24" s="253" t="s">
        <v>140</v>
      </c>
      <c r="BI24" s="253"/>
      <c r="BJ24" s="253" t="s">
        <v>140</v>
      </c>
      <c r="BK24" s="253"/>
      <c r="BO24" s="200"/>
    </row>
    <row r="25" spans="2:67" ht="80.099999999999994" customHeight="1" x14ac:dyDescent="0.25">
      <c r="B25" s="706"/>
      <c r="C25" s="212">
        <v>11</v>
      </c>
      <c r="D25" s="429" t="s">
        <v>20</v>
      </c>
      <c r="E25" s="444">
        <v>29</v>
      </c>
      <c r="F25" s="439">
        <v>24</v>
      </c>
      <c r="G25" s="445">
        <v>16.8</v>
      </c>
      <c r="H25" s="328">
        <f>'ارزیابی و برآورد'!I30</f>
        <v>19</v>
      </c>
      <c r="I25" s="325">
        <f>'ارزیابی و برآورد'!J30</f>
        <v>9</v>
      </c>
      <c r="J25" s="464">
        <v>7</v>
      </c>
      <c r="K25" s="327">
        <f>'ارزیابی و برآورد'!O30</f>
        <v>60</v>
      </c>
      <c r="L25" s="330">
        <f>'ارزیابی و برآورد'!P30</f>
        <v>34</v>
      </c>
      <c r="M25" s="329">
        <f t="shared" si="10"/>
        <v>94</v>
      </c>
      <c r="N25" s="327">
        <f>'ارزیابی و برآورد'!U30</f>
        <v>357</v>
      </c>
      <c r="O25" s="330">
        <f>'ارزیابی و برآورد'!V30</f>
        <v>76</v>
      </c>
      <c r="P25" s="325">
        <f t="shared" si="11"/>
        <v>433</v>
      </c>
      <c r="Q25" s="328">
        <f>'ارزیابی و برآورد'!AA30</f>
        <v>702</v>
      </c>
      <c r="R25" s="330">
        <f>'ارزیابی و برآورد'!AB30</f>
        <v>366</v>
      </c>
      <c r="S25" s="325">
        <f t="shared" si="12"/>
        <v>1068</v>
      </c>
      <c r="T25" s="468">
        <f t="shared" si="13"/>
        <v>1595</v>
      </c>
      <c r="U25" s="313">
        <v>36</v>
      </c>
      <c r="V25" s="314">
        <v>9</v>
      </c>
      <c r="W25" s="314">
        <v>36</v>
      </c>
      <c r="X25" s="312">
        <v>4</v>
      </c>
      <c r="Y25" s="389"/>
      <c r="Z25" s="390"/>
      <c r="AA25" s="390"/>
      <c r="AB25" s="390"/>
      <c r="AC25" s="390"/>
      <c r="AD25" s="390"/>
      <c r="AE25" s="391"/>
      <c r="AF25" s="359">
        <v>31</v>
      </c>
      <c r="AG25" s="359">
        <v>3</v>
      </c>
      <c r="AH25" s="360">
        <f t="shared" si="6"/>
        <v>34</v>
      </c>
      <c r="AI25" s="361">
        <v>254</v>
      </c>
      <c r="AJ25" s="359">
        <v>44</v>
      </c>
      <c r="AK25" s="362">
        <f t="shared" si="7"/>
        <v>298</v>
      </c>
      <c r="AL25" s="359">
        <v>474</v>
      </c>
      <c r="AM25" s="359">
        <v>183</v>
      </c>
      <c r="AN25" s="360">
        <f t="shared" si="8"/>
        <v>657</v>
      </c>
      <c r="AO25" s="363">
        <f t="shared" si="3"/>
        <v>989</v>
      </c>
      <c r="AP25" s="206">
        <f t="shared" si="4"/>
        <v>702</v>
      </c>
      <c r="AQ25" s="207">
        <f t="shared" si="14"/>
        <v>54.756000000000007</v>
      </c>
      <c r="AR25" s="217">
        <v>60</v>
      </c>
      <c r="AS25" s="207">
        <v>20</v>
      </c>
      <c r="AT25" s="201"/>
      <c r="AV25" s="207">
        <f t="shared" si="5"/>
        <v>1068</v>
      </c>
      <c r="AW25" s="207">
        <f t="shared" si="9"/>
        <v>68352</v>
      </c>
      <c r="AX25" s="254">
        <v>60</v>
      </c>
      <c r="AY25" s="216">
        <v>20</v>
      </c>
      <c r="AZ25" s="252"/>
      <c r="BA25" s="247"/>
      <c r="BB25" s="248" t="s">
        <v>20</v>
      </c>
      <c r="BC25" s="248"/>
      <c r="BD25" s="248"/>
      <c r="BE25" s="248"/>
      <c r="BF25" s="248"/>
      <c r="BG25" s="248"/>
      <c r="BH25" s="248"/>
      <c r="BI25" s="248"/>
      <c r="BJ25" s="248"/>
      <c r="BK25" s="248"/>
      <c r="BO25" s="213"/>
    </row>
    <row r="26" spans="2:67" ht="80.099999999999994" customHeight="1" x14ac:dyDescent="0.25">
      <c r="B26" s="706"/>
      <c r="C26" s="250">
        <v>12</v>
      </c>
      <c r="D26" s="428" t="s">
        <v>14</v>
      </c>
      <c r="E26" s="442">
        <v>29</v>
      </c>
      <c r="F26" s="171">
        <v>27</v>
      </c>
      <c r="G26" s="443">
        <v>12</v>
      </c>
      <c r="H26" s="354">
        <f>'ارزیابی و برآورد'!I31</f>
        <v>19</v>
      </c>
      <c r="I26" s="356">
        <f>'ارزیابی و برآورد'!J31</f>
        <v>1</v>
      </c>
      <c r="J26" s="463">
        <v>20</v>
      </c>
      <c r="K26" s="351">
        <f>'ارزیابی و برآورد'!O31</f>
        <v>26</v>
      </c>
      <c r="L26" s="352">
        <f>'ارزیابی و برآورد'!P31</f>
        <v>11</v>
      </c>
      <c r="M26" s="454">
        <f t="shared" si="10"/>
        <v>37</v>
      </c>
      <c r="N26" s="351">
        <f>'ارزیابی و برآورد'!U31</f>
        <v>189</v>
      </c>
      <c r="O26" s="352">
        <f>'ارزیابی و برآورد'!V31</f>
        <v>28</v>
      </c>
      <c r="P26" s="356">
        <f t="shared" si="11"/>
        <v>217</v>
      </c>
      <c r="Q26" s="354">
        <f>'ارزیابی و برآورد'!AA31</f>
        <v>439</v>
      </c>
      <c r="R26" s="352">
        <f>'ارزیابی و برآورد'!AB31</f>
        <v>58</v>
      </c>
      <c r="S26" s="356">
        <f t="shared" si="12"/>
        <v>497</v>
      </c>
      <c r="T26" s="467">
        <f t="shared" si="13"/>
        <v>751</v>
      </c>
      <c r="U26" s="351">
        <v>20</v>
      </c>
      <c r="V26" s="352">
        <v>19</v>
      </c>
      <c r="W26" s="352">
        <v>20</v>
      </c>
      <c r="X26" s="454">
        <v>19</v>
      </c>
      <c r="Y26" s="401">
        <v>18</v>
      </c>
      <c r="Z26" s="402">
        <v>12</v>
      </c>
      <c r="AA26" s="402">
        <v>8</v>
      </c>
      <c r="AB26" s="402">
        <v>10</v>
      </c>
      <c r="AC26" s="402">
        <v>10</v>
      </c>
      <c r="AD26" s="402">
        <v>8</v>
      </c>
      <c r="AE26" s="403">
        <v>4</v>
      </c>
      <c r="AF26" s="357">
        <v>13</v>
      </c>
      <c r="AG26" s="357">
        <v>7</v>
      </c>
      <c r="AH26" s="355">
        <f t="shared" si="6"/>
        <v>20</v>
      </c>
      <c r="AI26" s="358">
        <v>110</v>
      </c>
      <c r="AJ26" s="357">
        <v>15</v>
      </c>
      <c r="AK26" s="353">
        <f t="shared" si="7"/>
        <v>125</v>
      </c>
      <c r="AL26" s="357">
        <v>439</v>
      </c>
      <c r="AM26" s="357">
        <v>58</v>
      </c>
      <c r="AN26" s="356">
        <f t="shared" si="8"/>
        <v>497</v>
      </c>
      <c r="AO26" s="350">
        <f t="shared" si="3"/>
        <v>642</v>
      </c>
      <c r="AP26" s="218">
        <f t="shared" si="4"/>
        <v>439</v>
      </c>
      <c r="AQ26" s="219">
        <f t="shared" si="14"/>
        <v>34.242000000000004</v>
      </c>
      <c r="AR26" s="220">
        <v>40</v>
      </c>
      <c r="AS26" s="219">
        <v>15</v>
      </c>
      <c r="AT26" s="201"/>
      <c r="AV26" s="207">
        <f t="shared" si="5"/>
        <v>497</v>
      </c>
      <c r="AW26" s="207">
        <f t="shared" si="9"/>
        <v>31808</v>
      </c>
      <c r="AX26" s="221">
        <v>30</v>
      </c>
      <c r="AY26" s="251">
        <v>0</v>
      </c>
      <c r="AZ26" s="252"/>
      <c r="BA26" s="247"/>
      <c r="BB26" s="253" t="s">
        <v>14</v>
      </c>
      <c r="BC26" s="256" t="s">
        <v>141</v>
      </c>
      <c r="BD26" s="256" t="s">
        <v>141</v>
      </c>
      <c r="BE26" s="253"/>
      <c r="BF26" s="253"/>
      <c r="BG26" s="253"/>
      <c r="BH26" s="253"/>
      <c r="BI26" s="253"/>
      <c r="BJ26" s="256" t="s">
        <v>141</v>
      </c>
      <c r="BK26" s="253"/>
      <c r="BO26" s="200"/>
    </row>
    <row r="27" spans="2:67" ht="80.099999999999994" customHeight="1" x14ac:dyDescent="0.25">
      <c r="B27" s="706"/>
      <c r="C27" s="212">
        <v>13</v>
      </c>
      <c r="D27" s="429" t="s">
        <v>16</v>
      </c>
      <c r="E27" s="444">
        <v>193</v>
      </c>
      <c r="F27" s="439">
        <v>175</v>
      </c>
      <c r="G27" s="445">
        <v>103.8</v>
      </c>
      <c r="H27" s="328">
        <f>'ارزیابی و برآورد'!I32</f>
        <v>100</v>
      </c>
      <c r="I27" s="325">
        <f>'ارزیابی و برآورد'!J32</f>
        <v>49</v>
      </c>
      <c r="J27" s="464">
        <v>64</v>
      </c>
      <c r="K27" s="327">
        <f>'ارزیابی و برآورد'!O32</f>
        <v>573</v>
      </c>
      <c r="L27" s="330">
        <f>'ارزیابی و برآورد'!P32</f>
        <v>93</v>
      </c>
      <c r="M27" s="329">
        <f t="shared" si="10"/>
        <v>666</v>
      </c>
      <c r="N27" s="327">
        <f>'ارزیابی و برآورد'!U32</f>
        <v>3032</v>
      </c>
      <c r="O27" s="330">
        <f>'ارزیابی و برآورد'!V32</f>
        <v>487</v>
      </c>
      <c r="P27" s="325">
        <f t="shared" si="11"/>
        <v>3519</v>
      </c>
      <c r="Q27" s="328">
        <f>'ارزیابی و برآورد'!AA32</f>
        <v>6085</v>
      </c>
      <c r="R27" s="330">
        <f>'ارزیابی و برآورد'!AB32</f>
        <v>2734</v>
      </c>
      <c r="S27" s="325">
        <f t="shared" si="12"/>
        <v>8819</v>
      </c>
      <c r="T27" s="409">
        <f t="shared" si="13"/>
        <v>13004</v>
      </c>
      <c r="U27" s="313">
        <v>154</v>
      </c>
      <c r="V27" s="314">
        <v>8</v>
      </c>
      <c r="W27" s="314">
        <v>83</v>
      </c>
      <c r="X27" s="312">
        <v>8</v>
      </c>
      <c r="Y27" s="389">
        <v>6</v>
      </c>
      <c r="Z27" s="390"/>
      <c r="AA27" s="390"/>
      <c r="AB27" s="390"/>
      <c r="AC27" s="390"/>
      <c r="AD27" s="390"/>
      <c r="AE27" s="391"/>
      <c r="AF27" s="311">
        <v>190</v>
      </c>
      <c r="AG27" s="311">
        <v>14</v>
      </c>
      <c r="AH27" s="312">
        <f t="shared" si="6"/>
        <v>204</v>
      </c>
      <c r="AI27" s="313">
        <v>1052</v>
      </c>
      <c r="AJ27" s="311">
        <v>226</v>
      </c>
      <c r="AK27" s="308">
        <f t="shared" si="7"/>
        <v>1278</v>
      </c>
      <c r="AL27" s="311">
        <v>4687</v>
      </c>
      <c r="AM27" s="311">
        <v>1918</v>
      </c>
      <c r="AN27" s="360">
        <f t="shared" si="8"/>
        <v>6605</v>
      </c>
      <c r="AO27" s="326">
        <f t="shared" si="3"/>
        <v>8087</v>
      </c>
      <c r="AP27" s="206">
        <f t="shared" si="4"/>
        <v>6085</v>
      </c>
      <c r="AQ27" s="207">
        <f t="shared" si="14"/>
        <v>474.63</v>
      </c>
      <c r="AR27" s="217">
        <v>440</v>
      </c>
      <c r="AS27" s="207">
        <v>120</v>
      </c>
      <c r="AT27" s="201"/>
      <c r="AV27" s="207">
        <f t="shared" si="5"/>
        <v>8819</v>
      </c>
      <c r="AW27" s="207">
        <f t="shared" si="9"/>
        <v>564416</v>
      </c>
      <c r="AX27" s="254">
        <v>500</v>
      </c>
      <c r="AY27" s="216">
        <v>150</v>
      </c>
      <c r="AZ27" s="252"/>
      <c r="BA27" s="247"/>
      <c r="BB27" s="248" t="s">
        <v>16</v>
      </c>
      <c r="BC27" s="248"/>
      <c r="BD27" s="248"/>
      <c r="BE27" s="248" t="s">
        <v>140</v>
      </c>
      <c r="BF27" s="248"/>
      <c r="BG27" s="248" t="s">
        <v>140</v>
      </c>
      <c r="BH27" s="248"/>
      <c r="BI27" s="255" t="s">
        <v>141</v>
      </c>
      <c r="BJ27" s="248" t="s">
        <v>140</v>
      </c>
      <c r="BK27" s="248"/>
      <c r="BO27" s="200"/>
    </row>
    <row r="28" spans="2:67" ht="80.099999999999994" customHeight="1" x14ac:dyDescent="0.25">
      <c r="B28" s="706"/>
      <c r="C28" s="250">
        <v>14</v>
      </c>
      <c r="D28" s="428" t="s">
        <v>13</v>
      </c>
      <c r="E28" s="442">
        <v>250</v>
      </c>
      <c r="F28" s="171">
        <v>227</v>
      </c>
      <c r="G28" s="443">
        <v>141.5</v>
      </c>
      <c r="H28" s="354">
        <f>'ارزیابی و برآورد'!I33</f>
        <v>118</v>
      </c>
      <c r="I28" s="356">
        <f>'ارزیابی و برآورد'!J33</f>
        <v>17</v>
      </c>
      <c r="J28" s="465">
        <v>26</v>
      </c>
      <c r="K28" s="351">
        <f>'ارزیابی و برآورد'!O33</f>
        <v>487</v>
      </c>
      <c r="L28" s="352">
        <f>'ارزیابی و برآورد'!P33</f>
        <v>74</v>
      </c>
      <c r="M28" s="454">
        <f t="shared" si="10"/>
        <v>561</v>
      </c>
      <c r="N28" s="351">
        <f>'ارزیابی و برآورد'!U33</f>
        <v>2963</v>
      </c>
      <c r="O28" s="352">
        <f>'ارزیابی و برآورد'!V33</f>
        <v>415</v>
      </c>
      <c r="P28" s="356">
        <f t="shared" si="11"/>
        <v>3378</v>
      </c>
      <c r="Q28" s="354">
        <f>'ارزیابی و برآورد'!AA33</f>
        <v>2550</v>
      </c>
      <c r="R28" s="352">
        <f>'ارزیابی و برآورد'!AB33</f>
        <v>546</v>
      </c>
      <c r="S28" s="356">
        <f t="shared" si="12"/>
        <v>3096</v>
      </c>
      <c r="T28" s="467">
        <f t="shared" si="13"/>
        <v>7035</v>
      </c>
      <c r="U28" s="351">
        <v>159</v>
      </c>
      <c r="V28" s="352">
        <v>18</v>
      </c>
      <c r="W28" s="352">
        <v>128</v>
      </c>
      <c r="X28" s="454">
        <v>18</v>
      </c>
      <c r="Y28" s="401">
        <v>0</v>
      </c>
      <c r="Z28" s="402"/>
      <c r="AA28" s="402"/>
      <c r="AB28" s="402"/>
      <c r="AC28" s="402"/>
      <c r="AD28" s="402"/>
      <c r="AE28" s="403"/>
      <c r="AF28" s="357">
        <v>82</v>
      </c>
      <c r="AG28" s="357">
        <v>0</v>
      </c>
      <c r="AH28" s="355">
        <f t="shared" si="6"/>
        <v>82</v>
      </c>
      <c r="AI28" s="358">
        <v>85</v>
      </c>
      <c r="AJ28" s="357">
        <v>0</v>
      </c>
      <c r="AK28" s="353">
        <f t="shared" si="7"/>
        <v>85</v>
      </c>
      <c r="AL28" s="357">
        <v>1011</v>
      </c>
      <c r="AM28" s="357">
        <v>9</v>
      </c>
      <c r="AN28" s="356">
        <f t="shared" si="8"/>
        <v>1020</v>
      </c>
      <c r="AO28" s="350">
        <f t="shared" si="3"/>
        <v>1187</v>
      </c>
      <c r="AP28" s="218">
        <f t="shared" si="4"/>
        <v>2550</v>
      </c>
      <c r="AQ28" s="219">
        <f t="shared" si="14"/>
        <v>198.9</v>
      </c>
      <c r="AR28" s="220">
        <v>200</v>
      </c>
      <c r="AS28" s="219">
        <v>90</v>
      </c>
      <c r="AT28" s="201"/>
      <c r="AV28" s="207">
        <f t="shared" si="5"/>
        <v>3096</v>
      </c>
      <c r="AW28" s="207">
        <f t="shared" si="9"/>
        <v>198144</v>
      </c>
      <c r="AX28" s="221">
        <v>200</v>
      </c>
      <c r="AY28" s="251">
        <v>80</v>
      </c>
      <c r="AZ28" s="252"/>
      <c r="BA28" s="247"/>
      <c r="BB28" s="253" t="s">
        <v>13</v>
      </c>
      <c r="BC28" s="253"/>
      <c r="BD28" s="253"/>
      <c r="BE28" s="253"/>
      <c r="BF28" s="253"/>
      <c r="BG28" s="253" t="s">
        <v>140</v>
      </c>
      <c r="BH28" s="253"/>
      <c r="BI28" s="253"/>
      <c r="BJ28" s="253"/>
      <c r="BK28" s="253"/>
      <c r="BO28" s="200"/>
    </row>
    <row r="29" spans="2:67" ht="80.099999999999994" customHeight="1" x14ac:dyDescent="0.25">
      <c r="B29" s="706"/>
      <c r="C29" s="212">
        <v>15</v>
      </c>
      <c r="D29" s="429" t="s">
        <v>2</v>
      </c>
      <c r="E29" s="444">
        <v>114</v>
      </c>
      <c r="F29" s="439">
        <v>104</v>
      </c>
      <c r="G29" s="445">
        <v>67.900000000000006</v>
      </c>
      <c r="H29" s="328">
        <f>'ارزیابی و برآورد'!I34</f>
        <v>56</v>
      </c>
      <c r="I29" s="325">
        <f>'ارزیابی و برآورد'!J34</f>
        <v>1</v>
      </c>
      <c r="J29" s="464">
        <v>28</v>
      </c>
      <c r="K29" s="327">
        <f>'ارزیابی و برآورد'!O34</f>
        <v>203</v>
      </c>
      <c r="L29" s="330">
        <f>'ارزیابی و برآورد'!P34</f>
        <v>9</v>
      </c>
      <c r="M29" s="329">
        <f t="shared" si="10"/>
        <v>212</v>
      </c>
      <c r="N29" s="327">
        <f>'ارزیابی و برآورد'!U34</f>
        <v>1087</v>
      </c>
      <c r="O29" s="330">
        <f>'ارزیابی و برآورد'!V34</f>
        <v>82</v>
      </c>
      <c r="P29" s="325">
        <f t="shared" si="11"/>
        <v>1169</v>
      </c>
      <c r="Q29" s="328">
        <f>'ارزیابی و برآورد'!AA34</f>
        <v>1577</v>
      </c>
      <c r="R29" s="330">
        <f>'ارزیابی و برآورد'!AB34</f>
        <v>183</v>
      </c>
      <c r="S29" s="325">
        <f t="shared" si="12"/>
        <v>1760</v>
      </c>
      <c r="T29" s="409">
        <f t="shared" si="13"/>
        <v>3141</v>
      </c>
      <c r="U29" s="313">
        <v>97</v>
      </c>
      <c r="V29" s="314">
        <v>42</v>
      </c>
      <c r="W29" s="314">
        <v>63</v>
      </c>
      <c r="X29" s="312">
        <v>12</v>
      </c>
      <c r="Y29" s="389"/>
      <c r="Z29" s="390"/>
      <c r="AA29" s="390"/>
      <c r="AB29" s="390"/>
      <c r="AC29" s="390"/>
      <c r="AD29" s="390"/>
      <c r="AE29" s="391"/>
      <c r="AF29" s="311">
        <v>43</v>
      </c>
      <c r="AG29" s="311">
        <v>2</v>
      </c>
      <c r="AH29" s="312">
        <f t="shared" si="6"/>
        <v>45</v>
      </c>
      <c r="AI29" s="313">
        <v>100</v>
      </c>
      <c r="AJ29" s="311">
        <v>3</v>
      </c>
      <c r="AK29" s="308">
        <f t="shared" si="7"/>
        <v>103</v>
      </c>
      <c r="AL29" s="311">
        <v>1393</v>
      </c>
      <c r="AM29" s="311">
        <v>108</v>
      </c>
      <c r="AN29" s="360">
        <f t="shared" si="8"/>
        <v>1501</v>
      </c>
      <c r="AO29" s="326">
        <f t="shared" si="3"/>
        <v>1649</v>
      </c>
      <c r="AP29" s="206">
        <f t="shared" si="4"/>
        <v>1577</v>
      </c>
      <c r="AQ29" s="207">
        <f t="shared" si="14"/>
        <v>123.00600000000001</v>
      </c>
      <c r="AR29" s="217">
        <v>80</v>
      </c>
      <c r="AS29" s="207">
        <v>40</v>
      </c>
      <c r="AT29" s="201"/>
      <c r="AV29" s="207">
        <f t="shared" si="5"/>
        <v>1760</v>
      </c>
      <c r="AW29" s="207">
        <f t="shared" si="9"/>
        <v>112640</v>
      </c>
      <c r="AX29" s="254">
        <v>70</v>
      </c>
      <c r="AY29" s="216">
        <v>30</v>
      </c>
      <c r="AZ29" s="252"/>
      <c r="BA29" s="247"/>
      <c r="BB29" s="248" t="s">
        <v>2</v>
      </c>
      <c r="BC29" s="248"/>
      <c r="BD29" s="248"/>
      <c r="BE29" s="248"/>
      <c r="BF29" s="248"/>
      <c r="BG29" s="248"/>
      <c r="BH29" s="248"/>
      <c r="BI29" s="248"/>
      <c r="BJ29" s="248"/>
      <c r="BK29" s="248"/>
      <c r="BO29" s="200"/>
    </row>
    <row r="30" spans="2:67" ht="80.099999999999994" customHeight="1" x14ac:dyDescent="0.25">
      <c r="B30" s="706"/>
      <c r="C30" s="250">
        <v>16</v>
      </c>
      <c r="D30" s="428" t="s">
        <v>17</v>
      </c>
      <c r="E30" s="442">
        <v>80</v>
      </c>
      <c r="F30" s="171">
        <v>78</v>
      </c>
      <c r="G30" s="443">
        <v>48.2</v>
      </c>
      <c r="H30" s="354">
        <f>'ارزیابی و برآورد'!I35</f>
        <v>31</v>
      </c>
      <c r="I30" s="356">
        <f>'ارزیابی و برآورد'!J35</f>
        <v>5</v>
      </c>
      <c r="J30" s="463">
        <v>8</v>
      </c>
      <c r="K30" s="351">
        <f>'ارزیابی و برآورد'!O35</f>
        <v>83</v>
      </c>
      <c r="L30" s="352">
        <f>'ارزیابی و برآورد'!P35</f>
        <v>35</v>
      </c>
      <c r="M30" s="454">
        <f t="shared" si="10"/>
        <v>118</v>
      </c>
      <c r="N30" s="351">
        <f>'ارزیابی و برآورد'!U35</f>
        <v>869</v>
      </c>
      <c r="O30" s="352">
        <f>'ارزیابی و برآورد'!V35</f>
        <v>232</v>
      </c>
      <c r="P30" s="356">
        <f t="shared" si="11"/>
        <v>1101</v>
      </c>
      <c r="Q30" s="354">
        <f>'ارزیابی و برآورد'!AA35</f>
        <v>440</v>
      </c>
      <c r="R30" s="352">
        <f>'ارزیابی و برآورد'!AB35</f>
        <v>355</v>
      </c>
      <c r="S30" s="356">
        <f t="shared" si="12"/>
        <v>795</v>
      </c>
      <c r="T30" s="467">
        <f t="shared" si="13"/>
        <v>2014</v>
      </c>
      <c r="U30" s="351">
        <v>36</v>
      </c>
      <c r="V30" s="352">
        <v>11</v>
      </c>
      <c r="W30" s="352">
        <v>36</v>
      </c>
      <c r="X30" s="454">
        <v>7</v>
      </c>
      <c r="Y30" s="401">
        <v>0</v>
      </c>
      <c r="Z30" s="402"/>
      <c r="AA30" s="402"/>
      <c r="AB30" s="402"/>
      <c r="AC30" s="402"/>
      <c r="AD30" s="402"/>
      <c r="AE30" s="403"/>
      <c r="AF30" s="357">
        <v>40</v>
      </c>
      <c r="AG30" s="357">
        <v>4</v>
      </c>
      <c r="AH30" s="355">
        <f t="shared" si="6"/>
        <v>44</v>
      </c>
      <c r="AI30" s="358">
        <v>852</v>
      </c>
      <c r="AJ30" s="357">
        <v>219</v>
      </c>
      <c r="AK30" s="353">
        <f t="shared" si="7"/>
        <v>1071</v>
      </c>
      <c r="AL30" s="357">
        <v>435</v>
      </c>
      <c r="AM30" s="357">
        <v>354</v>
      </c>
      <c r="AN30" s="356">
        <f t="shared" si="8"/>
        <v>789</v>
      </c>
      <c r="AO30" s="350">
        <f t="shared" si="3"/>
        <v>1904</v>
      </c>
      <c r="AP30" s="218">
        <f t="shared" si="4"/>
        <v>440</v>
      </c>
      <c r="AQ30" s="219">
        <f t="shared" si="14"/>
        <v>34.32</v>
      </c>
      <c r="AR30" s="220">
        <v>40</v>
      </c>
      <c r="AS30" s="219">
        <v>0</v>
      </c>
      <c r="AT30" s="201"/>
      <c r="AV30" s="207">
        <f t="shared" si="5"/>
        <v>795</v>
      </c>
      <c r="AW30" s="207">
        <f t="shared" si="9"/>
        <v>50880</v>
      </c>
      <c r="AX30" s="221">
        <v>50</v>
      </c>
      <c r="AY30" s="251">
        <v>0</v>
      </c>
      <c r="AZ30" s="252"/>
      <c r="BA30" s="247"/>
      <c r="BB30" s="253" t="s">
        <v>17</v>
      </c>
      <c r="BC30" s="253"/>
      <c r="BD30" s="253"/>
      <c r="BE30" s="253"/>
      <c r="BF30" s="253"/>
      <c r="BG30" s="253"/>
      <c r="BH30" s="253"/>
      <c r="BI30" s="253"/>
      <c r="BJ30" s="253"/>
      <c r="BK30" s="253"/>
      <c r="BO30" s="200"/>
    </row>
    <row r="31" spans="2:67" ht="80.099999999999994" customHeight="1" x14ac:dyDescent="0.25">
      <c r="B31" s="706"/>
      <c r="C31" s="212">
        <v>17</v>
      </c>
      <c r="D31" s="429" t="s">
        <v>18</v>
      </c>
      <c r="E31" s="444">
        <v>511</v>
      </c>
      <c r="F31" s="439">
        <v>412</v>
      </c>
      <c r="G31" s="445">
        <v>180.4</v>
      </c>
      <c r="H31" s="328">
        <f>'ارزیابی و برآورد'!I36</f>
        <v>134</v>
      </c>
      <c r="I31" s="325">
        <f>'ارزیابی و برآورد'!J36</f>
        <v>7</v>
      </c>
      <c r="J31" s="464">
        <v>0</v>
      </c>
      <c r="K31" s="327">
        <f>'ارزیابی و برآورد'!O36</f>
        <v>505</v>
      </c>
      <c r="L31" s="330">
        <f>'ارزیابی و برآورد'!P36</f>
        <v>52</v>
      </c>
      <c r="M31" s="329">
        <f t="shared" si="10"/>
        <v>557</v>
      </c>
      <c r="N31" s="327">
        <f>'ارزیابی و برآورد'!U36</f>
        <v>3679</v>
      </c>
      <c r="O31" s="330">
        <f>'ارزیابی و برآورد'!V36</f>
        <v>499</v>
      </c>
      <c r="P31" s="325">
        <f t="shared" si="11"/>
        <v>4178</v>
      </c>
      <c r="Q31" s="328">
        <f>'ارزیابی و برآورد'!AA36</f>
        <v>4501</v>
      </c>
      <c r="R31" s="330">
        <f>'ارزیابی و برآورد'!AB36</f>
        <v>1042</v>
      </c>
      <c r="S31" s="325">
        <f t="shared" si="12"/>
        <v>5543</v>
      </c>
      <c r="T31" s="409">
        <f t="shared" si="13"/>
        <v>10278</v>
      </c>
      <c r="U31" s="313">
        <v>141</v>
      </c>
      <c r="V31" s="314">
        <v>78</v>
      </c>
      <c r="W31" s="314">
        <v>139</v>
      </c>
      <c r="X31" s="312">
        <v>36</v>
      </c>
      <c r="Y31" s="389">
        <v>21</v>
      </c>
      <c r="Z31" s="390">
        <v>2</v>
      </c>
      <c r="AA31" s="390"/>
      <c r="AB31" s="390"/>
      <c r="AC31" s="390"/>
      <c r="AD31" s="390"/>
      <c r="AE31" s="391"/>
      <c r="AF31" s="311">
        <v>290</v>
      </c>
      <c r="AG31" s="311">
        <v>22</v>
      </c>
      <c r="AH31" s="312">
        <f t="shared" si="6"/>
        <v>312</v>
      </c>
      <c r="AI31" s="313">
        <v>1741</v>
      </c>
      <c r="AJ31" s="311">
        <v>145</v>
      </c>
      <c r="AK31" s="308">
        <f t="shared" si="7"/>
        <v>1886</v>
      </c>
      <c r="AL31" s="311">
        <v>4457</v>
      </c>
      <c r="AM31" s="311">
        <v>1036</v>
      </c>
      <c r="AN31" s="360">
        <f t="shared" si="8"/>
        <v>5493</v>
      </c>
      <c r="AO31" s="326">
        <f t="shared" si="3"/>
        <v>7691</v>
      </c>
      <c r="AP31" s="206">
        <f t="shared" si="4"/>
        <v>4501</v>
      </c>
      <c r="AQ31" s="207">
        <f t="shared" si="14"/>
        <v>351.07800000000003</v>
      </c>
      <c r="AR31" s="217">
        <v>250</v>
      </c>
      <c r="AS31" s="207">
        <v>150</v>
      </c>
      <c r="AT31" s="201"/>
      <c r="AV31" s="207">
        <f t="shared" si="5"/>
        <v>5543</v>
      </c>
      <c r="AW31" s="207">
        <f t="shared" si="9"/>
        <v>354752</v>
      </c>
      <c r="AX31" s="254">
        <v>300</v>
      </c>
      <c r="AY31" s="216">
        <v>150</v>
      </c>
      <c r="AZ31" s="252"/>
      <c r="BA31" s="247"/>
      <c r="BB31" s="248" t="s">
        <v>18</v>
      </c>
      <c r="BC31" s="248" t="s">
        <v>143</v>
      </c>
      <c r="BD31" s="248" t="s">
        <v>140</v>
      </c>
      <c r="BE31" s="248" t="s">
        <v>140</v>
      </c>
      <c r="BF31" s="248"/>
      <c r="BG31" s="248" t="s">
        <v>140</v>
      </c>
      <c r="BH31" s="248"/>
      <c r="BI31" s="248" t="s">
        <v>140</v>
      </c>
      <c r="BJ31" s="248"/>
      <c r="BK31" s="248" t="s">
        <v>140</v>
      </c>
      <c r="BM31" s="214"/>
      <c r="BO31" s="200"/>
    </row>
    <row r="32" spans="2:67" ht="80.099999999999994" customHeight="1" x14ac:dyDescent="0.25">
      <c r="B32" s="706"/>
      <c r="C32" s="250">
        <v>18</v>
      </c>
      <c r="D32" s="428" t="s">
        <v>27</v>
      </c>
      <c r="E32" s="442">
        <v>1</v>
      </c>
      <c r="F32" s="171">
        <v>1</v>
      </c>
      <c r="G32" s="443">
        <v>0.7</v>
      </c>
      <c r="H32" s="354">
        <f>'ارزیابی و برآورد'!I37</f>
        <v>0</v>
      </c>
      <c r="I32" s="356">
        <f>'ارزیابی و برآورد'!J37</f>
        <v>0</v>
      </c>
      <c r="J32" s="463">
        <v>0</v>
      </c>
      <c r="K32" s="351">
        <f>'ارزیابی و برآورد'!O37</f>
        <v>3</v>
      </c>
      <c r="L32" s="352">
        <f>'ارزیابی و برآورد'!P37</f>
        <v>0</v>
      </c>
      <c r="M32" s="454">
        <f t="shared" si="10"/>
        <v>3</v>
      </c>
      <c r="N32" s="351">
        <f>'ارزیابی و برآورد'!U37</f>
        <v>120</v>
      </c>
      <c r="O32" s="352">
        <f>'ارزیابی و برآورد'!V37</f>
        <v>6</v>
      </c>
      <c r="P32" s="356">
        <f t="shared" si="11"/>
        <v>126</v>
      </c>
      <c r="Q32" s="354">
        <f>'ارزیابی و برآورد'!AA37</f>
        <v>69</v>
      </c>
      <c r="R32" s="352">
        <f>'ارزیابی و برآورد'!AB37</f>
        <v>2</v>
      </c>
      <c r="S32" s="356">
        <f t="shared" si="12"/>
        <v>71</v>
      </c>
      <c r="T32" s="467">
        <f t="shared" si="13"/>
        <v>200</v>
      </c>
      <c r="U32" s="420">
        <v>0</v>
      </c>
      <c r="V32" s="421">
        <v>0</v>
      </c>
      <c r="W32" s="421">
        <v>0</v>
      </c>
      <c r="X32" s="421">
        <v>0</v>
      </c>
      <c r="Y32" s="457" t="s">
        <v>158</v>
      </c>
      <c r="Z32" s="455"/>
      <c r="AA32" s="455"/>
      <c r="AB32" s="455"/>
      <c r="AC32" s="455"/>
      <c r="AD32" s="455"/>
      <c r="AE32" s="458"/>
      <c r="AF32" s="357">
        <v>1</v>
      </c>
      <c r="AG32" s="357">
        <v>0</v>
      </c>
      <c r="AH32" s="355">
        <f t="shared" si="6"/>
        <v>1</v>
      </c>
      <c r="AI32" s="358">
        <v>78</v>
      </c>
      <c r="AJ32" s="357">
        <v>3</v>
      </c>
      <c r="AK32" s="353">
        <f t="shared" si="7"/>
        <v>81</v>
      </c>
      <c r="AL32" s="357">
        <v>39</v>
      </c>
      <c r="AM32" s="357">
        <v>0</v>
      </c>
      <c r="AN32" s="356">
        <f t="shared" si="8"/>
        <v>39</v>
      </c>
      <c r="AO32" s="350">
        <f t="shared" si="3"/>
        <v>121</v>
      </c>
      <c r="AP32" s="218">
        <f t="shared" si="4"/>
        <v>69</v>
      </c>
      <c r="AQ32" s="219">
        <f t="shared" si="14"/>
        <v>5.3820000000000006</v>
      </c>
      <c r="AR32" s="220">
        <v>25</v>
      </c>
      <c r="AS32" s="219">
        <v>0</v>
      </c>
      <c r="AT32" s="201"/>
      <c r="AV32" s="207">
        <f t="shared" si="5"/>
        <v>71</v>
      </c>
      <c r="AW32" s="207">
        <f t="shared" si="9"/>
        <v>4544</v>
      </c>
      <c r="AX32" s="221">
        <v>25</v>
      </c>
      <c r="AY32" s="251">
        <v>0</v>
      </c>
      <c r="AZ32" s="252"/>
      <c r="BA32" s="247"/>
      <c r="BB32" s="253" t="s">
        <v>27</v>
      </c>
      <c r="BC32" s="253"/>
      <c r="BD32" s="253"/>
      <c r="BE32" s="253"/>
      <c r="BF32" s="253"/>
      <c r="BG32" s="253" t="s">
        <v>140</v>
      </c>
      <c r="BH32" s="253"/>
      <c r="BI32" s="253"/>
      <c r="BJ32" s="253"/>
      <c r="BK32" s="253"/>
      <c r="BO32" s="200"/>
    </row>
    <row r="33" spans="2:67" ht="80.099999999999994" customHeight="1" x14ac:dyDescent="0.25">
      <c r="B33" s="706"/>
      <c r="C33" s="212">
        <v>19</v>
      </c>
      <c r="D33" s="429" t="s">
        <v>28</v>
      </c>
      <c r="E33" s="444">
        <v>0</v>
      </c>
      <c r="F33" s="439">
        <v>0</v>
      </c>
      <c r="G33" s="445">
        <v>0</v>
      </c>
      <c r="H33" s="328">
        <f>'ارزیابی و برآورد'!I38</f>
        <v>0</v>
      </c>
      <c r="I33" s="325">
        <f>'ارزیابی و برآورد'!J38</f>
        <v>0</v>
      </c>
      <c r="J33" s="464">
        <v>0</v>
      </c>
      <c r="K33" s="327">
        <f>'ارزیابی و برآورد'!O38</f>
        <v>4</v>
      </c>
      <c r="L33" s="330">
        <f>'ارزیابی و برآورد'!P38</f>
        <v>0</v>
      </c>
      <c r="M33" s="329">
        <f t="shared" si="10"/>
        <v>4</v>
      </c>
      <c r="N33" s="327">
        <f>'ارزیابی و برآورد'!U38</f>
        <v>19</v>
      </c>
      <c r="O33" s="330">
        <f>'ارزیابی و برآورد'!V38</f>
        <v>0</v>
      </c>
      <c r="P33" s="325">
        <f t="shared" si="11"/>
        <v>19</v>
      </c>
      <c r="Q33" s="328">
        <f>'ارزیابی و برآورد'!AA38</f>
        <v>5</v>
      </c>
      <c r="R33" s="330">
        <f>'ارزیابی و برآورد'!AB38</f>
        <v>2</v>
      </c>
      <c r="S33" s="325">
        <f t="shared" si="12"/>
        <v>7</v>
      </c>
      <c r="T33" s="409">
        <f t="shared" si="13"/>
        <v>30</v>
      </c>
      <c r="U33" s="422">
        <v>0</v>
      </c>
      <c r="V33" s="423">
        <v>0</v>
      </c>
      <c r="W33" s="423">
        <v>0</v>
      </c>
      <c r="X33" s="423">
        <v>0</v>
      </c>
      <c r="Y33" s="459" t="s">
        <v>158</v>
      </c>
      <c r="Z33" s="456"/>
      <c r="AA33" s="456"/>
      <c r="AB33" s="456"/>
      <c r="AC33" s="456"/>
      <c r="AD33" s="456"/>
      <c r="AE33" s="460"/>
      <c r="AF33" s="311">
        <v>4</v>
      </c>
      <c r="AG33" s="311">
        <v>0</v>
      </c>
      <c r="AH33" s="312">
        <f t="shared" si="6"/>
        <v>4</v>
      </c>
      <c r="AI33" s="313">
        <v>19</v>
      </c>
      <c r="AJ33" s="311">
        <v>0</v>
      </c>
      <c r="AK33" s="308">
        <f t="shared" si="7"/>
        <v>19</v>
      </c>
      <c r="AL33" s="311">
        <v>5</v>
      </c>
      <c r="AM33" s="311">
        <v>2</v>
      </c>
      <c r="AN33" s="360">
        <f t="shared" si="8"/>
        <v>7</v>
      </c>
      <c r="AO33" s="326">
        <f t="shared" si="3"/>
        <v>30</v>
      </c>
      <c r="AP33" s="206">
        <f t="shared" si="4"/>
        <v>5</v>
      </c>
      <c r="AQ33" s="207">
        <f t="shared" si="14"/>
        <v>0.39</v>
      </c>
      <c r="AR33" s="217">
        <v>10</v>
      </c>
      <c r="AS33" s="207">
        <v>10</v>
      </c>
      <c r="AT33" s="201"/>
      <c r="AV33" s="207">
        <f t="shared" si="5"/>
        <v>7</v>
      </c>
      <c r="AW33" s="207">
        <f t="shared" si="9"/>
        <v>448</v>
      </c>
      <c r="AX33" s="254">
        <v>0</v>
      </c>
      <c r="AY33" s="216">
        <v>5</v>
      </c>
      <c r="AZ33" s="252"/>
      <c r="BA33" s="247"/>
      <c r="BB33" s="248" t="s">
        <v>28</v>
      </c>
      <c r="BC33" s="248"/>
      <c r="BD33" s="248"/>
      <c r="BE33" s="248"/>
      <c r="BF33" s="248"/>
      <c r="BG33" s="248"/>
      <c r="BH33" s="248"/>
      <c r="BI33" s="248"/>
      <c r="BJ33" s="248"/>
      <c r="BK33" s="248"/>
      <c r="BO33" s="200"/>
    </row>
    <row r="34" spans="2:67" ht="80.099999999999994" customHeight="1" x14ac:dyDescent="0.25">
      <c r="B34" s="706"/>
      <c r="C34" s="250">
        <v>20</v>
      </c>
      <c r="D34" s="428" t="s">
        <v>30</v>
      </c>
      <c r="E34" s="442">
        <v>0</v>
      </c>
      <c r="F34" s="171">
        <v>0</v>
      </c>
      <c r="G34" s="443">
        <v>0</v>
      </c>
      <c r="H34" s="354">
        <f>'ارزیابی و برآورد'!I39</f>
        <v>0</v>
      </c>
      <c r="I34" s="356">
        <f>'ارزیابی و برآورد'!J39</f>
        <v>3</v>
      </c>
      <c r="J34" s="463">
        <v>0</v>
      </c>
      <c r="K34" s="351">
        <f>'ارزیابی و برآورد'!O39</f>
        <v>0</v>
      </c>
      <c r="L34" s="352">
        <f>'ارزیابی و برآورد'!P39</f>
        <v>0</v>
      </c>
      <c r="M34" s="454">
        <f t="shared" si="10"/>
        <v>0</v>
      </c>
      <c r="N34" s="351">
        <f>'ارزیابی و برآورد'!U39</f>
        <v>47</v>
      </c>
      <c r="O34" s="352">
        <f>'ارزیابی و برآورد'!V39</f>
        <v>16</v>
      </c>
      <c r="P34" s="356">
        <f t="shared" si="11"/>
        <v>63</v>
      </c>
      <c r="Q34" s="354">
        <f>'ارزیابی و برآورد'!AA39</f>
        <v>485</v>
      </c>
      <c r="R34" s="352">
        <f>'ارزیابی و برآورد'!AB39</f>
        <v>77</v>
      </c>
      <c r="S34" s="356">
        <f t="shared" si="12"/>
        <v>562</v>
      </c>
      <c r="T34" s="467">
        <f t="shared" si="13"/>
        <v>625</v>
      </c>
      <c r="U34" s="351">
        <v>3</v>
      </c>
      <c r="V34" s="352">
        <v>0</v>
      </c>
      <c r="W34" s="352">
        <v>0</v>
      </c>
      <c r="X34" s="454">
        <v>0</v>
      </c>
      <c r="Y34" s="401"/>
      <c r="Z34" s="402"/>
      <c r="AA34" s="402"/>
      <c r="AB34" s="402"/>
      <c r="AC34" s="402"/>
      <c r="AD34" s="402"/>
      <c r="AE34" s="403"/>
      <c r="AF34" s="357">
        <v>0</v>
      </c>
      <c r="AG34" s="357">
        <v>0</v>
      </c>
      <c r="AH34" s="355">
        <f t="shared" si="6"/>
        <v>0</v>
      </c>
      <c r="AI34" s="358">
        <v>43</v>
      </c>
      <c r="AJ34" s="357">
        <v>23</v>
      </c>
      <c r="AK34" s="353">
        <f t="shared" si="7"/>
        <v>66</v>
      </c>
      <c r="AL34" s="357">
        <v>252</v>
      </c>
      <c r="AM34" s="357">
        <v>43</v>
      </c>
      <c r="AN34" s="356">
        <f t="shared" si="8"/>
        <v>295</v>
      </c>
      <c r="AO34" s="350">
        <f t="shared" si="3"/>
        <v>361</v>
      </c>
      <c r="AP34" s="218">
        <f t="shared" si="4"/>
        <v>485</v>
      </c>
      <c r="AQ34" s="219">
        <f t="shared" si="14"/>
        <v>37.83</v>
      </c>
      <c r="AR34" s="220">
        <v>40</v>
      </c>
      <c r="AS34" s="219">
        <v>15</v>
      </c>
      <c r="AT34" s="201"/>
      <c r="AV34" s="207">
        <f t="shared" si="5"/>
        <v>562</v>
      </c>
      <c r="AW34" s="207">
        <f t="shared" si="9"/>
        <v>35968</v>
      </c>
      <c r="AX34" s="221">
        <v>35</v>
      </c>
      <c r="AY34" s="251">
        <v>10</v>
      </c>
      <c r="AZ34" s="252"/>
      <c r="BA34" s="247"/>
      <c r="BB34" s="253" t="s">
        <v>30</v>
      </c>
      <c r="BC34" s="253" t="s">
        <v>144</v>
      </c>
      <c r="BD34" s="253" t="s">
        <v>140</v>
      </c>
      <c r="BE34" s="253" t="s">
        <v>140</v>
      </c>
      <c r="BF34" s="253"/>
      <c r="BG34" s="253" t="s">
        <v>140</v>
      </c>
      <c r="BH34" s="256" t="s">
        <v>141</v>
      </c>
      <c r="BI34" s="256" t="s">
        <v>141</v>
      </c>
      <c r="BJ34" s="253" t="s">
        <v>140</v>
      </c>
      <c r="BK34" s="256" t="s">
        <v>141</v>
      </c>
      <c r="BO34" s="200"/>
    </row>
    <row r="35" spans="2:67" ht="80.099999999999994" customHeight="1" x14ac:dyDescent="0.25">
      <c r="B35" s="706"/>
      <c r="C35" s="212">
        <v>21</v>
      </c>
      <c r="D35" s="429" t="s">
        <v>31</v>
      </c>
      <c r="E35" s="444">
        <v>4</v>
      </c>
      <c r="F35" s="439">
        <v>4</v>
      </c>
      <c r="G35" s="445">
        <v>1.2</v>
      </c>
      <c r="H35" s="328">
        <f>'ارزیابی و برآورد'!I40</f>
        <v>4</v>
      </c>
      <c r="I35" s="325">
        <f>'ارزیابی و برآورد'!J40</f>
        <v>0</v>
      </c>
      <c r="J35" s="464">
        <v>4</v>
      </c>
      <c r="K35" s="327">
        <f>'ارزیابی و برآورد'!O40</f>
        <v>2</v>
      </c>
      <c r="L35" s="330">
        <f>'ارزیابی و برآورد'!P40</f>
        <v>0</v>
      </c>
      <c r="M35" s="329">
        <f t="shared" si="10"/>
        <v>2</v>
      </c>
      <c r="N35" s="327">
        <f>'ارزیابی و برآورد'!U40</f>
        <v>5</v>
      </c>
      <c r="O35" s="330">
        <f>'ارزیابی و برآورد'!V40</f>
        <v>0</v>
      </c>
      <c r="P35" s="325">
        <f t="shared" si="11"/>
        <v>5</v>
      </c>
      <c r="Q35" s="328">
        <f>'ارزیابی و برآورد'!AA40</f>
        <v>71</v>
      </c>
      <c r="R35" s="330">
        <f>'ارزیابی و برآورد'!AB40</f>
        <v>6</v>
      </c>
      <c r="S35" s="325">
        <f t="shared" si="12"/>
        <v>77</v>
      </c>
      <c r="T35" s="409">
        <f t="shared" si="13"/>
        <v>84</v>
      </c>
      <c r="U35" s="313">
        <v>4</v>
      </c>
      <c r="V35" s="314">
        <v>4</v>
      </c>
      <c r="W35" s="314">
        <v>4</v>
      </c>
      <c r="X35" s="312">
        <v>4</v>
      </c>
      <c r="Y35" s="389"/>
      <c r="Z35" s="390"/>
      <c r="AA35" s="390"/>
      <c r="AB35" s="390"/>
      <c r="AC35" s="390"/>
      <c r="AD35" s="390"/>
      <c r="AE35" s="391"/>
      <c r="AF35" s="311">
        <v>4</v>
      </c>
      <c r="AG35" s="311">
        <v>0</v>
      </c>
      <c r="AH35" s="312">
        <f t="shared" si="6"/>
        <v>4</v>
      </c>
      <c r="AI35" s="313">
        <v>5</v>
      </c>
      <c r="AJ35" s="311">
        <v>1</v>
      </c>
      <c r="AK35" s="308">
        <f t="shared" si="7"/>
        <v>6</v>
      </c>
      <c r="AL35" s="311">
        <v>45</v>
      </c>
      <c r="AM35" s="311">
        <v>4</v>
      </c>
      <c r="AN35" s="360">
        <f t="shared" si="8"/>
        <v>49</v>
      </c>
      <c r="AO35" s="326">
        <f t="shared" si="3"/>
        <v>59</v>
      </c>
      <c r="AP35" s="206">
        <f t="shared" si="4"/>
        <v>71</v>
      </c>
      <c r="AQ35" s="207">
        <f t="shared" si="14"/>
        <v>5.5380000000000003</v>
      </c>
      <c r="AR35" s="217">
        <v>10</v>
      </c>
      <c r="AS35" s="207">
        <v>0</v>
      </c>
      <c r="AT35" s="201"/>
      <c r="AV35" s="207">
        <f t="shared" si="5"/>
        <v>77</v>
      </c>
      <c r="AW35" s="207">
        <f t="shared" si="9"/>
        <v>4928</v>
      </c>
      <c r="AX35" s="254">
        <v>10</v>
      </c>
      <c r="AY35" s="216">
        <v>0</v>
      </c>
      <c r="AZ35" s="252"/>
      <c r="BA35" s="247"/>
      <c r="BB35" s="248" t="s">
        <v>31</v>
      </c>
      <c r="BC35" s="248"/>
      <c r="BD35" s="248"/>
      <c r="BE35" s="248"/>
      <c r="BF35" s="248"/>
      <c r="BG35" s="248"/>
      <c r="BH35" s="248"/>
      <c r="BI35" s="248"/>
      <c r="BJ35" s="248"/>
      <c r="BK35" s="248"/>
      <c r="BO35" s="200"/>
    </row>
    <row r="36" spans="2:67" ht="80.099999999999994" customHeight="1" x14ac:dyDescent="0.25">
      <c r="B36" s="706"/>
      <c r="C36" s="250">
        <v>22</v>
      </c>
      <c r="D36" s="428" t="s">
        <v>32</v>
      </c>
      <c r="E36" s="442">
        <v>8</v>
      </c>
      <c r="F36" s="171">
        <v>8</v>
      </c>
      <c r="G36" s="443">
        <v>2.4</v>
      </c>
      <c r="H36" s="354">
        <f>'ارزیابی و برآورد'!I41</f>
        <v>9</v>
      </c>
      <c r="I36" s="356">
        <f>'ارزیابی و برآورد'!J41</f>
        <v>0</v>
      </c>
      <c r="J36" s="463">
        <v>9</v>
      </c>
      <c r="K36" s="351">
        <f>'ارزیابی و برآورد'!O41</f>
        <v>6</v>
      </c>
      <c r="L36" s="352">
        <f>'ارزیابی و برآورد'!P41</f>
        <v>0</v>
      </c>
      <c r="M36" s="454">
        <f t="shared" si="10"/>
        <v>6</v>
      </c>
      <c r="N36" s="351">
        <f>'ارزیابی و برآورد'!U41</f>
        <v>17</v>
      </c>
      <c r="O36" s="352">
        <f>'ارزیابی و برآورد'!V41</f>
        <v>0</v>
      </c>
      <c r="P36" s="356">
        <f t="shared" si="11"/>
        <v>17</v>
      </c>
      <c r="Q36" s="354">
        <f>'ارزیابی و برآورد'!AA41</f>
        <v>91</v>
      </c>
      <c r="R36" s="352">
        <f>'ارزیابی و برآورد'!AB41</f>
        <v>24</v>
      </c>
      <c r="S36" s="356">
        <f t="shared" si="12"/>
        <v>115</v>
      </c>
      <c r="T36" s="467">
        <f t="shared" si="13"/>
        <v>138</v>
      </c>
      <c r="U36" s="351">
        <v>9</v>
      </c>
      <c r="V36" s="352">
        <v>6</v>
      </c>
      <c r="W36" s="352">
        <v>6</v>
      </c>
      <c r="X36" s="454">
        <v>1</v>
      </c>
      <c r="Y36" s="401">
        <v>0</v>
      </c>
      <c r="Z36" s="402"/>
      <c r="AA36" s="402"/>
      <c r="AB36" s="402"/>
      <c r="AC36" s="402"/>
      <c r="AD36" s="402"/>
      <c r="AE36" s="403"/>
      <c r="AF36" s="357">
        <v>3</v>
      </c>
      <c r="AG36" s="357">
        <v>0</v>
      </c>
      <c r="AH36" s="355">
        <f t="shared" si="6"/>
        <v>3</v>
      </c>
      <c r="AI36" s="358">
        <v>15</v>
      </c>
      <c r="AJ36" s="357">
        <v>0</v>
      </c>
      <c r="AK36" s="353">
        <f t="shared" si="7"/>
        <v>15</v>
      </c>
      <c r="AL36" s="357">
        <v>63</v>
      </c>
      <c r="AM36" s="357">
        <v>22</v>
      </c>
      <c r="AN36" s="356">
        <f t="shared" si="8"/>
        <v>85</v>
      </c>
      <c r="AO36" s="350">
        <f t="shared" si="3"/>
        <v>103</v>
      </c>
      <c r="AP36" s="218">
        <f t="shared" si="4"/>
        <v>91</v>
      </c>
      <c r="AQ36" s="219">
        <f t="shared" si="14"/>
        <v>7.0979999999999999</v>
      </c>
      <c r="AR36" s="220">
        <v>20</v>
      </c>
      <c r="AS36" s="219">
        <v>0</v>
      </c>
      <c r="AT36" s="201"/>
      <c r="AV36" s="207">
        <f t="shared" si="5"/>
        <v>115</v>
      </c>
      <c r="AW36" s="207">
        <f t="shared" si="9"/>
        <v>7360</v>
      </c>
      <c r="AX36" s="221">
        <v>20</v>
      </c>
      <c r="AY36" s="251">
        <v>0</v>
      </c>
      <c r="AZ36" s="252"/>
      <c r="BA36" s="247"/>
      <c r="BB36" s="253" t="s">
        <v>32</v>
      </c>
      <c r="BC36" s="253"/>
      <c r="BD36" s="253"/>
      <c r="BE36" s="253"/>
      <c r="BF36" s="253"/>
      <c r="BG36" s="253" t="s">
        <v>140</v>
      </c>
      <c r="BH36" s="253"/>
      <c r="BI36" s="253"/>
      <c r="BJ36" s="253"/>
      <c r="BK36" s="253"/>
      <c r="BO36" s="200"/>
    </row>
    <row r="37" spans="2:67" ht="80.099999999999994" customHeight="1" x14ac:dyDescent="0.25">
      <c r="B37" s="706"/>
      <c r="C37" s="212">
        <v>23</v>
      </c>
      <c r="D37" s="429" t="s">
        <v>46</v>
      </c>
      <c r="E37" s="444">
        <v>351</v>
      </c>
      <c r="F37" s="439">
        <v>273</v>
      </c>
      <c r="G37" s="445">
        <v>190.6</v>
      </c>
      <c r="H37" s="328">
        <f>'ارزیابی و برآورد'!I42</f>
        <v>38</v>
      </c>
      <c r="I37" s="325">
        <f>'ارزیابی و برآورد'!J42</f>
        <v>4</v>
      </c>
      <c r="J37" s="464">
        <v>15</v>
      </c>
      <c r="K37" s="475">
        <f>'ارزیابی و برآورد'!O42</f>
        <v>35</v>
      </c>
      <c r="L37" s="476">
        <f>'ارزیابی و برآورد'!P42</f>
        <v>6</v>
      </c>
      <c r="M37" s="477">
        <f t="shared" si="10"/>
        <v>41</v>
      </c>
      <c r="N37" s="475">
        <f>'ارزیابی و برآورد'!U42</f>
        <v>138</v>
      </c>
      <c r="O37" s="476">
        <f>'ارزیابی و برآورد'!V42</f>
        <v>5</v>
      </c>
      <c r="P37" s="478">
        <f t="shared" si="11"/>
        <v>143</v>
      </c>
      <c r="Q37" s="479">
        <f>'ارزیابی و برآورد'!AA42</f>
        <v>608</v>
      </c>
      <c r="R37" s="476">
        <f>'ارزیابی و برآورد'!AB42</f>
        <v>17</v>
      </c>
      <c r="S37" s="478">
        <f t="shared" si="12"/>
        <v>625</v>
      </c>
      <c r="T37" s="409">
        <f t="shared" si="13"/>
        <v>809</v>
      </c>
      <c r="U37" s="313">
        <v>137</v>
      </c>
      <c r="V37" s="314">
        <v>124</v>
      </c>
      <c r="W37" s="314">
        <v>137</v>
      </c>
      <c r="X37" s="312">
        <v>114</v>
      </c>
      <c r="Y37" s="389"/>
      <c r="Z37" s="390"/>
      <c r="AA37" s="390"/>
      <c r="AB37" s="390"/>
      <c r="AC37" s="390"/>
      <c r="AD37" s="390"/>
      <c r="AE37" s="391"/>
      <c r="AF37" s="311">
        <v>3</v>
      </c>
      <c r="AG37" s="311">
        <v>0</v>
      </c>
      <c r="AH37" s="312">
        <f t="shared" si="6"/>
        <v>3</v>
      </c>
      <c r="AI37" s="313">
        <v>10</v>
      </c>
      <c r="AJ37" s="311">
        <v>0</v>
      </c>
      <c r="AK37" s="308">
        <f t="shared" si="7"/>
        <v>10</v>
      </c>
      <c r="AL37" s="311">
        <v>174</v>
      </c>
      <c r="AM37" s="311">
        <v>1</v>
      </c>
      <c r="AN37" s="360">
        <f t="shared" si="8"/>
        <v>175</v>
      </c>
      <c r="AO37" s="326">
        <f t="shared" si="3"/>
        <v>188</v>
      </c>
      <c r="AP37" s="206">
        <f t="shared" si="4"/>
        <v>608</v>
      </c>
      <c r="AQ37" s="207">
        <f t="shared" si="14"/>
        <v>47.424000000000007</v>
      </c>
      <c r="AR37" s="217">
        <v>30</v>
      </c>
      <c r="AS37" s="207">
        <v>10</v>
      </c>
      <c r="AT37" s="201"/>
      <c r="AV37" s="207">
        <f t="shared" si="5"/>
        <v>625</v>
      </c>
      <c r="AW37" s="207">
        <f t="shared" si="9"/>
        <v>40000</v>
      </c>
      <c r="AX37" s="254">
        <v>25</v>
      </c>
      <c r="AY37" s="216">
        <v>10</v>
      </c>
      <c r="AZ37" s="252"/>
      <c r="BA37" s="247"/>
      <c r="BB37" s="248" t="s">
        <v>46</v>
      </c>
      <c r="BC37" s="248"/>
      <c r="BD37" s="248"/>
      <c r="BE37" s="248"/>
      <c r="BF37" s="248"/>
      <c r="BG37" s="248"/>
      <c r="BH37" s="248"/>
      <c r="BI37" s="248"/>
      <c r="BJ37" s="248"/>
      <c r="BK37" s="248"/>
      <c r="BO37" s="200"/>
    </row>
    <row r="38" spans="2:67" ht="80.099999999999994" customHeight="1" thickBot="1" x14ac:dyDescent="0.3">
      <c r="B38" s="707"/>
      <c r="C38" s="257">
        <v>24</v>
      </c>
      <c r="D38" s="430" t="s">
        <v>55</v>
      </c>
      <c r="E38" s="442">
        <v>6</v>
      </c>
      <c r="F38" s="171">
        <v>5</v>
      </c>
      <c r="G38" s="446">
        <v>2.9</v>
      </c>
      <c r="H38" s="431">
        <f>'ارزیابی و برآورد'!I43</f>
        <v>3</v>
      </c>
      <c r="I38" s="426">
        <f>'ارزیابی و برآورد'!J43</f>
        <v>0</v>
      </c>
      <c r="J38" s="466">
        <v>1</v>
      </c>
      <c r="K38" s="480">
        <f>'ارزیابی و برآورد'!O43</f>
        <v>25</v>
      </c>
      <c r="L38" s="481">
        <f>'ارزیابی و برآورد'!P43</f>
        <v>0</v>
      </c>
      <c r="M38" s="482">
        <f t="shared" si="10"/>
        <v>25</v>
      </c>
      <c r="N38" s="480">
        <f>'ارزیابی و برآورد'!U43</f>
        <v>49</v>
      </c>
      <c r="O38" s="481">
        <f>'ارزیابی و برآورد'!V43</f>
        <v>2</v>
      </c>
      <c r="P38" s="426">
        <f t="shared" si="11"/>
        <v>51</v>
      </c>
      <c r="Q38" s="431">
        <f>'ارزیابی و برآورد'!AA43</f>
        <v>229</v>
      </c>
      <c r="R38" s="481">
        <f>'ارزیابی و برآورد'!AB43</f>
        <v>19</v>
      </c>
      <c r="S38" s="426">
        <f t="shared" si="12"/>
        <v>248</v>
      </c>
      <c r="T38" s="469">
        <f t="shared" si="13"/>
        <v>324</v>
      </c>
      <c r="U38" s="351">
        <v>2</v>
      </c>
      <c r="V38" s="352">
        <v>0</v>
      </c>
      <c r="W38" s="352">
        <v>2</v>
      </c>
      <c r="X38" s="454">
        <v>0</v>
      </c>
      <c r="Y38" s="404"/>
      <c r="Z38" s="405"/>
      <c r="AA38" s="405"/>
      <c r="AB38" s="405"/>
      <c r="AC38" s="405"/>
      <c r="AD38" s="405"/>
      <c r="AE38" s="406"/>
      <c r="AF38" s="366">
        <v>13</v>
      </c>
      <c r="AG38" s="366">
        <v>0</v>
      </c>
      <c r="AH38" s="365">
        <f t="shared" si="6"/>
        <v>13</v>
      </c>
      <c r="AI38" s="367">
        <v>23</v>
      </c>
      <c r="AJ38" s="366">
        <v>0</v>
      </c>
      <c r="AK38" s="364">
        <f t="shared" si="7"/>
        <v>23</v>
      </c>
      <c r="AL38" s="366">
        <v>116</v>
      </c>
      <c r="AM38" s="366">
        <v>2</v>
      </c>
      <c r="AN38" s="355">
        <f t="shared" si="8"/>
        <v>118</v>
      </c>
      <c r="AO38" s="368">
        <f t="shared" si="3"/>
        <v>154</v>
      </c>
      <c r="AP38" s="260">
        <f t="shared" si="4"/>
        <v>229</v>
      </c>
      <c r="AQ38" s="261">
        <f t="shared" si="14"/>
        <v>17.862000000000002</v>
      </c>
      <c r="AR38" s="259">
        <v>25</v>
      </c>
      <c r="AS38" s="262">
        <v>0</v>
      </c>
      <c r="AT38" s="201"/>
      <c r="AV38" s="207">
        <f t="shared" si="5"/>
        <v>248</v>
      </c>
      <c r="AW38" s="207">
        <f t="shared" si="9"/>
        <v>15872</v>
      </c>
      <c r="AX38" s="221">
        <v>25</v>
      </c>
      <c r="AY38" s="258">
        <v>0</v>
      </c>
      <c r="AZ38" s="263"/>
      <c r="BA38" s="247"/>
      <c r="BB38" s="253" t="s">
        <v>145</v>
      </c>
      <c r="BC38" s="253"/>
      <c r="BD38" s="253"/>
      <c r="BE38" s="253"/>
      <c r="BF38" s="253"/>
      <c r="BG38" s="253"/>
      <c r="BH38" s="253"/>
      <c r="BI38" s="253"/>
      <c r="BJ38" s="253"/>
      <c r="BK38" s="253"/>
      <c r="BO38" s="200"/>
    </row>
    <row r="39" spans="2:67" ht="99.95" customHeight="1" thickBot="1" x14ac:dyDescent="0.3">
      <c r="B39" s="692" t="s">
        <v>146</v>
      </c>
      <c r="C39" s="693"/>
      <c r="D39" s="693"/>
      <c r="E39" s="434">
        <f>SUM(E15:E38)</f>
        <v>3027</v>
      </c>
      <c r="F39" s="435">
        <f>SUM(F15:F38)</f>
        <v>2711</v>
      </c>
      <c r="G39" s="447">
        <f>SUM(G15:G38)</f>
        <v>1509.7000000000005</v>
      </c>
      <c r="H39" s="432">
        <f t="shared" ref="H39:I39" si="15">SUM(H15:H38)</f>
        <v>984</v>
      </c>
      <c r="I39" s="425">
        <f t="shared" si="15"/>
        <v>216</v>
      </c>
      <c r="J39" s="291">
        <f>SUM(J15:J38)</f>
        <v>416</v>
      </c>
      <c r="K39" s="470">
        <f t="shared" ref="K39:R39" si="16">SUM(K15:K38)</f>
        <v>4606</v>
      </c>
      <c r="L39" s="470">
        <f t="shared" si="16"/>
        <v>617</v>
      </c>
      <c r="M39" s="471">
        <f t="shared" si="16"/>
        <v>5223</v>
      </c>
      <c r="N39" s="472">
        <f t="shared" si="16"/>
        <v>29673</v>
      </c>
      <c r="O39" s="470">
        <f t="shared" si="16"/>
        <v>3747</v>
      </c>
      <c r="P39" s="473">
        <f t="shared" si="16"/>
        <v>33420</v>
      </c>
      <c r="Q39" s="474">
        <f t="shared" si="16"/>
        <v>49308</v>
      </c>
      <c r="R39" s="470">
        <f t="shared" si="16"/>
        <v>11307</v>
      </c>
      <c r="S39" s="471">
        <f>SUM(S15:S38)</f>
        <v>60615</v>
      </c>
      <c r="T39" s="291">
        <f>SUM(T15:T38)</f>
        <v>99258</v>
      </c>
      <c r="U39" s="297">
        <f>SUM(U15:U38)</f>
        <v>1372</v>
      </c>
      <c r="V39" s="298">
        <f>SUM(V15:V38)</f>
        <v>453</v>
      </c>
      <c r="W39" s="298">
        <f>SUM(W15:W38)</f>
        <v>1168</v>
      </c>
      <c r="X39" s="407">
        <f>SUM(X15:X37)</f>
        <v>328</v>
      </c>
      <c r="Y39" s="297">
        <f t="shared" ref="Y39:AC39" si="17">SUM(Y15:Y38)</f>
        <v>120</v>
      </c>
      <c r="Z39" s="298">
        <f t="shared" si="17"/>
        <v>33</v>
      </c>
      <c r="AA39" s="298">
        <f t="shared" si="17"/>
        <v>19</v>
      </c>
      <c r="AB39" s="298">
        <f t="shared" si="17"/>
        <v>21</v>
      </c>
      <c r="AC39" s="298">
        <f t="shared" si="17"/>
        <v>21</v>
      </c>
      <c r="AD39" s="298">
        <f>SUM(AD15:AD38)</f>
        <v>13</v>
      </c>
      <c r="AE39" s="299">
        <f>SUM(AE15:AE38)</f>
        <v>4</v>
      </c>
      <c r="AF39" s="296">
        <f>SUM(AF15:AF38)</f>
        <v>1536</v>
      </c>
      <c r="AG39" s="296">
        <f t="shared" ref="AG39:AS39" si="18">SUM(AG15:AG38)</f>
        <v>133</v>
      </c>
      <c r="AH39" s="300">
        <f t="shared" si="18"/>
        <v>1669</v>
      </c>
      <c r="AI39" s="294">
        <f t="shared" si="18"/>
        <v>12851</v>
      </c>
      <c r="AJ39" s="296">
        <f t="shared" si="18"/>
        <v>1348</v>
      </c>
      <c r="AK39" s="301">
        <f>SUM(AK15:AK38)</f>
        <v>14199</v>
      </c>
      <c r="AL39" s="296">
        <f t="shared" si="18"/>
        <v>37191</v>
      </c>
      <c r="AM39" s="296">
        <f t="shared" si="18"/>
        <v>7003</v>
      </c>
      <c r="AN39" s="302">
        <f t="shared" si="18"/>
        <v>44194</v>
      </c>
      <c r="AO39" s="291">
        <f t="shared" si="18"/>
        <v>60062</v>
      </c>
      <c r="AP39" s="266">
        <f t="shared" si="18"/>
        <v>49308</v>
      </c>
      <c r="AQ39" s="267">
        <f t="shared" si="18"/>
        <v>3846.0240000000003</v>
      </c>
      <c r="AR39" s="268">
        <f t="shared" si="18"/>
        <v>3000</v>
      </c>
      <c r="AS39" s="264">
        <f t="shared" si="18"/>
        <v>905</v>
      </c>
      <c r="AT39" s="269"/>
      <c r="AU39" s="270"/>
      <c r="AV39" s="271">
        <f>SUM(AV15:AV38)</f>
        <v>60615</v>
      </c>
      <c r="AW39" s="271">
        <f>SUM(AW15:AW38)</f>
        <v>3879360</v>
      </c>
      <c r="AX39" s="265">
        <f t="shared" ref="AX39:AY39" si="19">SUM(AX15:AX38)</f>
        <v>3055</v>
      </c>
      <c r="AY39" s="268">
        <f t="shared" si="19"/>
        <v>865</v>
      </c>
      <c r="AZ39" s="247"/>
      <c r="BA39" s="247"/>
      <c r="BO39" s="237"/>
    </row>
    <row r="40" spans="2:67" ht="20.100000000000001" customHeight="1" thickBot="1" x14ac:dyDescent="0.6">
      <c r="B40" s="306"/>
      <c r="C40" s="306"/>
      <c r="D40" s="306"/>
      <c r="E40" s="303"/>
      <c r="F40" s="303"/>
      <c r="G40" s="303"/>
      <c r="H40" s="303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Y40" s="303"/>
      <c r="Z40" s="303"/>
      <c r="AA40" s="303"/>
      <c r="AB40" s="303"/>
      <c r="AC40" s="303"/>
      <c r="AD40" s="303"/>
      <c r="AE40" s="303"/>
      <c r="AF40" s="303"/>
      <c r="AG40" s="303"/>
      <c r="AH40" s="303"/>
      <c r="AI40" s="303"/>
      <c r="AJ40" s="303"/>
      <c r="AK40" s="303"/>
      <c r="AL40" s="303"/>
      <c r="AM40" s="303"/>
      <c r="AN40" s="303"/>
      <c r="AO40" s="303"/>
      <c r="AT40" s="201"/>
      <c r="AV40" s="254"/>
      <c r="AW40" s="254"/>
      <c r="AX40" s="272"/>
      <c r="AY40" s="272"/>
      <c r="AZ40" s="247"/>
      <c r="BA40" s="247"/>
    </row>
    <row r="41" spans="2:67" ht="99.95" customHeight="1" thickBot="1" x14ac:dyDescent="0.3">
      <c r="B41" s="694" t="s">
        <v>147</v>
      </c>
      <c r="C41" s="695"/>
      <c r="D41" s="696"/>
      <c r="E41" s="297">
        <f>E39+E13</f>
        <v>3259</v>
      </c>
      <c r="F41" s="433">
        <f>F39+F13</f>
        <v>2932</v>
      </c>
      <c r="G41" s="448">
        <f>G39+G13</f>
        <v>1664.4000000000005</v>
      </c>
      <c r="H41" s="414">
        <f>H39+H13</f>
        <v>1089</v>
      </c>
      <c r="I41" s="301">
        <f>I39+I13</f>
        <v>218</v>
      </c>
      <c r="J41" s="300">
        <f t="shared" ref="J41:AS41" si="20">J39+J13</f>
        <v>474</v>
      </c>
      <c r="K41" s="294">
        <f t="shared" si="20"/>
        <v>5075</v>
      </c>
      <c r="L41" s="292">
        <f t="shared" si="20"/>
        <v>695</v>
      </c>
      <c r="M41" s="295">
        <f t="shared" si="20"/>
        <v>5770</v>
      </c>
      <c r="N41" s="296">
        <f t="shared" si="20"/>
        <v>32422</v>
      </c>
      <c r="O41" s="292">
        <f t="shared" si="20"/>
        <v>4201</v>
      </c>
      <c r="P41" s="293">
        <f t="shared" si="20"/>
        <v>36623</v>
      </c>
      <c r="Q41" s="294">
        <f t="shared" si="20"/>
        <v>55843</v>
      </c>
      <c r="R41" s="292">
        <f t="shared" si="20"/>
        <v>12429</v>
      </c>
      <c r="S41" s="295">
        <f t="shared" si="20"/>
        <v>68272</v>
      </c>
      <c r="T41" s="291">
        <f t="shared" si="20"/>
        <v>110665</v>
      </c>
      <c r="U41" s="304">
        <f t="shared" si="20"/>
        <v>1480</v>
      </c>
      <c r="V41" s="305">
        <f t="shared" si="20"/>
        <v>465</v>
      </c>
      <c r="W41" s="305">
        <f t="shared" si="20"/>
        <v>1275</v>
      </c>
      <c r="X41" s="408">
        <f t="shared" si="20"/>
        <v>333</v>
      </c>
      <c r="Y41" s="304">
        <f t="shared" si="20"/>
        <v>122</v>
      </c>
      <c r="Z41" s="305">
        <f t="shared" si="20"/>
        <v>35</v>
      </c>
      <c r="AA41" s="305">
        <f t="shared" si="20"/>
        <v>19</v>
      </c>
      <c r="AB41" s="305">
        <f t="shared" si="20"/>
        <v>22</v>
      </c>
      <c r="AC41" s="305">
        <f t="shared" si="20"/>
        <v>21</v>
      </c>
      <c r="AD41" s="305">
        <f t="shared" si="20"/>
        <v>13</v>
      </c>
      <c r="AE41" s="461">
        <f t="shared" si="20"/>
        <v>4</v>
      </c>
      <c r="AF41" s="296">
        <f t="shared" si="20"/>
        <v>1666</v>
      </c>
      <c r="AG41" s="292">
        <f t="shared" si="20"/>
        <v>145</v>
      </c>
      <c r="AH41" s="295">
        <f t="shared" si="20"/>
        <v>1811</v>
      </c>
      <c r="AI41" s="296">
        <f t="shared" si="20"/>
        <v>13416</v>
      </c>
      <c r="AJ41" s="292">
        <f t="shared" si="20"/>
        <v>1433</v>
      </c>
      <c r="AK41" s="293">
        <f t="shared" si="20"/>
        <v>14849</v>
      </c>
      <c r="AL41" s="294">
        <f t="shared" si="20"/>
        <v>40953</v>
      </c>
      <c r="AM41" s="292">
        <f t="shared" si="20"/>
        <v>7296</v>
      </c>
      <c r="AN41" s="295">
        <f t="shared" si="20"/>
        <v>48249</v>
      </c>
      <c r="AO41" s="301">
        <f t="shared" si="20"/>
        <v>64909</v>
      </c>
      <c r="AP41" s="273" t="e">
        <f t="shared" si="20"/>
        <v>#REF!</v>
      </c>
      <c r="AQ41" s="273">
        <f t="shared" si="20"/>
        <v>4206.0240000000003</v>
      </c>
      <c r="AR41" s="273">
        <f t="shared" si="20"/>
        <v>3100</v>
      </c>
      <c r="AS41" s="273">
        <f t="shared" si="20"/>
        <v>905</v>
      </c>
      <c r="AT41" s="201"/>
      <c r="AV41" s="254"/>
      <c r="AW41" s="254"/>
      <c r="AX41" s="272"/>
      <c r="AY41" s="272"/>
      <c r="AZ41" s="247"/>
      <c r="BA41" s="247"/>
    </row>
    <row r="42" spans="2:67" ht="21.75" thickBot="1" x14ac:dyDescent="0.3">
      <c r="C42" s="274"/>
      <c r="D42" s="274"/>
      <c r="E42" s="274"/>
      <c r="F42" s="274"/>
      <c r="G42" s="274"/>
      <c r="H42" s="274"/>
      <c r="I42" s="274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274"/>
      <c r="U42" s="274"/>
      <c r="V42" s="274"/>
      <c r="W42" s="274"/>
      <c r="X42" s="274"/>
      <c r="Y42" s="274"/>
      <c r="Z42" s="274"/>
      <c r="AA42" s="274"/>
      <c r="AB42" s="274"/>
      <c r="AC42" s="274"/>
      <c r="AD42" s="274"/>
      <c r="AE42" s="274"/>
      <c r="AF42" s="274"/>
      <c r="AG42" s="274"/>
      <c r="AH42" s="274"/>
      <c r="AI42" s="274"/>
      <c r="AJ42" s="274"/>
      <c r="AK42" s="274"/>
      <c r="AL42" s="274"/>
      <c r="AM42" s="274"/>
      <c r="AN42" s="274"/>
      <c r="AO42" s="274"/>
      <c r="AT42" s="200"/>
    </row>
    <row r="43" spans="2:67" ht="135.75" customHeight="1" thickBot="1" x14ac:dyDescent="0.3">
      <c r="B43" s="276" t="s">
        <v>101</v>
      </c>
      <c r="C43" s="275"/>
      <c r="D43" s="699" t="s">
        <v>172</v>
      </c>
      <c r="E43" s="700"/>
      <c r="F43" s="700"/>
      <c r="G43" s="700"/>
      <c r="H43" s="700"/>
      <c r="I43" s="700"/>
      <c r="J43" s="700"/>
      <c r="K43" s="700"/>
      <c r="L43" s="700"/>
      <c r="M43" s="700"/>
      <c r="N43" s="700"/>
      <c r="O43" s="700"/>
      <c r="P43" s="700"/>
      <c r="Q43" s="700"/>
      <c r="R43" s="700"/>
      <c r="S43" s="700"/>
      <c r="T43" s="700"/>
      <c r="U43" s="700"/>
      <c r="V43" s="700"/>
      <c r="W43" s="700"/>
      <c r="X43" s="700"/>
      <c r="Y43" s="700"/>
      <c r="Z43" s="700"/>
      <c r="AA43" s="700"/>
      <c r="AB43" s="700"/>
      <c r="AC43" s="700"/>
      <c r="AD43" s="700"/>
      <c r="AE43" s="700"/>
      <c r="AF43" s="700"/>
      <c r="AG43" s="700"/>
      <c r="AH43" s="700"/>
      <c r="AI43" s="700"/>
      <c r="AJ43" s="700"/>
      <c r="AK43" s="700"/>
      <c r="AL43" s="700"/>
      <c r="AM43" s="700"/>
      <c r="AN43" s="700"/>
      <c r="AO43" s="701"/>
      <c r="AP43" s="197"/>
      <c r="AS43" s="273" t="e">
        <f>AS39+#REF!</f>
        <v>#REF!</v>
      </c>
      <c r="AT43" s="237"/>
      <c r="BA43" s="199"/>
    </row>
  </sheetData>
  <mergeCells count="40">
    <mergeCell ref="B39:D39"/>
    <mergeCell ref="B41:D41"/>
    <mergeCell ref="E6:G6"/>
    <mergeCell ref="D43:AO43"/>
    <mergeCell ref="B9:B12"/>
    <mergeCell ref="C13:D13"/>
    <mergeCell ref="B15:B38"/>
    <mergeCell ref="AQ7:AQ8"/>
    <mergeCell ref="AF7:AH7"/>
    <mergeCell ref="AI7:AK7"/>
    <mergeCell ref="AL7:AN7"/>
    <mergeCell ref="AO7:AO8"/>
    <mergeCell ref="AX6:AY6"/>
    <mergeCell ref="E7:E8"/>
    <mergeCell ref="F7:F8"/>
    <mergeCell ref="K7:M7"/>
    <mergeCell ref="N7:P7"/>
    <mergeCell ref="U6:AO6"/>
    <mergeCell ref="AP6:AQ6"/>
    <mergeCell ref="Q7:S7"/>
    <mergeCell ref="T7:T8"/>
    <mergeCell ref="U7:X7"/>
    <mergeCell ref="AX7:AX8"/>
    <mergeCell ref="AY7:AY8"/>
    <mergeCell ref="AR7:AR8"/>
    <mergeCell ref="AS7:AS8"/>
    <mergeCell ref="AR6:AS6"/>
    <mergeCell ref="AP7:AP8"/>
    <mergeCell ref="AM2:AO2"/>
    <mergeCell ref="B4:D5"/>
    <mergeCell ref="E4:AO4"/>
    <mergeCell ref="E5:AO5"/>
    <mergeCell ref="B6:B8"/>
    <mergeCell ref="C6:C8"/>
    <mergeCell ref="D6:D8"/>
    <mergeCell ref="H7:I7"/>
    <mergeCell ref="J7:J8"/>
    <mergeCell ref="H6:T6"/>
    <mergeCell ref="G7:G8"/>
    <mergeCell ref="Y7:AE7"/>
  </mergeCells>
  <printOptions horizontalCentered="1" verticalCentered="1"/>
  <pageMargins left="0.25" right="0.25" top="0.25" bottom="0.25" header="0.3" footer="0.3"/>
  <pageSetup paperSize="8" scale="2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T67"/>
  <sheetViews>
    <sheetView rightToLeft="1" topLeftCell="D2" zoomScale="30" zoomScaleNormal="30" zoomScalePageLayoutView="20" workbookViewId="0">
      <selection activeCell="P15" sqref="P15"/>
    </sheetView>
  </sheetViews>
  <sheetFormatPr defaultColWidth="9" defaultRowHeight="18.75" x14ac:dyDescent="0.5"/>
  <cols>
    <col min="1" max="1" width="15.25" style="1" customWidth="1"/>
    <col min="2" max="2" width="12.375" style="1" customWidth="1"/>
    <col min="3" max="3" width="10.125" style="1" bestFit="1" customWidth="1"/>
    <col min="4" max="4" width="77.625" style="1" customWidth="1"/>
    <col min="5" max="5" width="94.75" style="1" hidden="1" customWidth="1"/>
    <col min="6" max="8" width="18.5" style="1" hidden="1" customWidth="1"/>
    <col min="9" max="11" width="18.5" style="1" customWidth="1"/>
    <col min="12" max="13" width="26.625" style="1" customWidth="1"/>
    <col min="14" max="14" width="30.625" style="1" customWidth="1"/>
    <col min="15" max="17" width="18.5" style="1" customWidth="1"/>
    <col min="18" max="19" width="26.625" style="1" customWidth="1"/>
    <col min="20" max="20" width="30.625" style="1" customWidth="1"/>
    <col min="21" max="23" width="18.5" style="1" customWidth="1"/>
    <col min="24" max="25" width="26.625" style="1" customWidth="1"/>
    <col min="26" max="26" width="30.625" style="1" customWidth="1"/>
    <col min="27" max="29" width="18.5" style="1" customWidth="1"/>
    <col min="30" max="31" width="26.625" style="1" customWidth="1"/>
    <col min="32" max="33" width="30.625" style="1" customWidth="1"/>
    <col min="34" max="39" width="18.5" style="1" customWidth="1"/>
    <col min="40" max="40" width="10.75" style="1" customWidth="1"/>
    <col min="41" max="41" width="11.25" style="1" customWidth="1"/>
    <col min="42" max="42" width="22.125" style="1" customWidth="1"/>
    <col min="43" max="45" width="9" style="1"/>
    <col min="46" max="46" width="9" style="1" customWidth="1"/>
    <col min="47" max="16384" width="9" style="1"/>
  </cols>
  <sheetData>
    <row r="1" spans="2:40" ht="51" hidden="1" customHeight="1" thickBot="1" x14ac:dyDescent="0.55000000000000004">
      <c r="AK1" s="486" t="s">
        <v>156</v>
      </c>
      <c r="AL1" s="487"/>
      <c r="AM1" s="488"/>
    </row>
    <row r="2" spans="2:40" ht="21.75" customHeight="1" thickBot="1" x14ac:dyDescent="0.55000000000000004"/>
    <row r="3" spans="2:40" ht="111" hidden="1" customHeight="1" thickBot="1" x14ac:dyDescent="0.55000000000000004">
      <c r="B3" s="527"/>
      <c r="C3" s="528"/>
      <c r="D3" s="529"/>
      <c r="E3" s="533" t="s">
        <v>57</v>
      </c>
      <c r="F3" s="534"/>
      <c r="G3" s="534"/>
      <c r="H3" s="534"/>
      <c r="I3" s="534"/>
      <c r="J3" s="534"/>
      <c r="K3" s="534"/>
      <c r="L3" s="534"/>
      <c r="M3" s="534"/>
      <c r="N3" s="534"/>
      <c r="O3" s="534"/>
      <c r="P3" s="534"/>
      <c r="Q3" s="534"/>
      <c r="R3" s="534"/>
      <c r="S3" s="534"/>
      <c r="T3" s="534"/>
      <c r="U3" s="534"/>
      <c r="V3" s="534"/>
      <c r="W3" s="534"/>
      <c r="X3" s="534"/>
      <c r="Y3" s="534"/>
      <c r="Z3" s="534"/>
      <c r="AA3" s="534"/>
      <c r="AB3" s="534"/>
      <c r="AC3" s="534"/>
      <c r="AD3" s="534"/>
      <c r="AE3" s="534"/>
      <c r="AF3" s="534"/>
      <c r="AG3" s="534"/>
      <c r="AH3" s="534"/>
      <c r="AI3" s="534"/>
      <c r="AJ3" s="534"/>
      <c r="AK3" s="534"/>
      <c r="AL3" s="534"/>
      <c r="AM3" s="535"/>
      <c r="AN3" s="21"/>
    </row>
    <row r="4" spans="2:40" ht="50.1" hidden="1" customHeight="1" thickBot="1" x14ac:dyDescent="0.55000000000000004">
      <c r="B4" s="530"/>
      <c r="C4" s="531"/>
      <c r="D4" s="532"/>
      <c r="E4" s="536" t="s">
        <v>88</v>
      </c>
      <c r="F4" s="537"/>
      <c r="G4" s="537"/>
      <c r="H4" s="537"/>
      <c r="I4" s="537"/>
      <c r="J4" s="537"/>
      <c r="K4" s="537"/>
      <c r="L4" s="537"/>
      <c r="M4" s="537"/>
      <c r="N4" s="537"/>
      <c r="O4" s="537"/>
      <c r="P4" s="537"/>
      <c r="Q4" s="537"/>
      <c r="R4" s="537"/>
      <c r="S4" s="537"/>
      <c r="T4" s="537"/>
      <c r="U4" s="537"/>
      <c r="V4" s="537"/>
      <c r="W4" s="537"/>
      <c r="X4" s="537"/>
      <c r="Y4" s="537"/>
      <c r="Z4" s="537"/>
      <c r="AA4" s="537"/>
      <c r="AB4" s="537"/>
      <c r="AC4" s="537"/>
      <c r="AD4" s="537"/>
      <c r="AE4" s="537"/>
      <c r="AF4" s="537"/>
      <c r="AG4" s="537"/>
      <c r="AH4" s="537"/>
      <c r="AI4" s="537"/>
      <c r="AJ4" s="537"/>
      <c r="AK4" s="537"/>
      <c r="AL4" s="537"/>
      <c r="AM4" s="537"/>
      <c r="AN4" s="22"/>
    </row>
    <row r="5" spans="2:40" ht="150" customHeight="1" thickBot="1" x14ac:dyDescent="0.55000000000000004">
      <c r="B5" s="527"/>
      <c r="C5" s="528"/>
      <c r="D5" s="529"/>
      <c r="E5" s="538" t="s">
        <v>73</v>
      </c>
      <c r="F5" s="539"/>
      <c r="G5" s="539"/>
      <c r="H5" s="539"/>
      <c r="I5" s="539"/>
      <c r="J5" s="539"/>
      <c r="K5" s="539"/>
      <c r="L5" s="539"/>
      <c r="M5" s="539"/>
      <c r="N5" s="539"/>
      <c r="O5" s="539"/>
      <c r="P5" s="539"/>
      <c r="Q5" s="539"/>
      <c r="R5" s="539"/>
      <c r="S5" s="539"/>
      <c r="T5" s="539"/>
      <c r="U5" s="539"/>
      <c r="V5" s="539"/>
      <c r="W5" s="539"/>
      <c r="X5" s="539"/>
      <c r="Y5" s="539"/>
      <c r="Z5" s="539"/>
      <c r="AA5" s="539"/>
      <c r="AB5" s="539"/>
      <c r="AC5" s="539"/>
      <c r="AD5" s="539"/>
      <c r="AE5" s="539"/>
      <c r="AF5" s="539"/>
      <c r="AG5" s="539"/>
      <c r="AH5" s="539"/>
      <c r="AI5" s="539"/>
      <c r="AJ5" s="539"/>
      <c r="AK5" s="539"/>
      <c r="AL5" s="539"/>
      <c r="AM5" s="540"/>
      <c r="AN5" s="22"/>
    </row>
    <row r="6" spans="2:40" ht="50.1" customHeight="1" thickBot="1" x14ac:dyDescent="0.55000000000000004">
      <c r="B6" s="530"/>
      <c r="C6" s="531"/>
      <c r="D6" s="532"/>
      <c r="E6" s="536" t="s">
        <v>171</v>
      </c>
      <c r="F6" s="537"/>
      <c r="G6" s="537"/>
      <c r="H6" s="537"/>
      <c r="I6" s="537"/>
      <c r="J6" s="537"/>
      <c r="K6" s="537"/>
      <c r="L6" s="537"/>
      <c r="M6" s="537"/>
      <c r="N6" s="537"/>
      <c r="O6" s="537"/>
      <c r="P6" s="537"/>
      <c r="Q6" s="537"/>
      <c r="R6" s="537"/>
      <c r="S6" s="537"/>
      <c r="T6" s="537"/>
      <c r="U6" s="537"/>
      <c r="V6" s="537"/>
      <c r="W6" s="537"/>
      <c r="X6" s="537"/>
      <c r="Y6" s="537"/>
      <c r="Z6" s="537"/>
      <c r="AA6" s="537"/>
      <c r="AB6" s="537"/>
      <c r="AC6" s="537"/>
      <c r="AD6" s="537"/>
      <c r="AE6" s="537"/>
      <c r="AF6" s="537"/>
      <c r="AG6" s="537"/>
      <c r="AH6" s="537"/>
      <c r="AI6" s="537"/>
      <c r="AJ6" s="537"/>
      <c r="AK6" s="537"/>
      <c r="AL6" s="537"/>
      <c r="AM6" s="537"/>
      <c r="AN6" s="22"/>
    </row>
    <row r="7" spans="2:40" ht="37.5" customHeight="1" thickBot="1" x14ac:dyDescent="0.55000000000000004">
      <c r="B7" s="545" t="s">
        <v>44</v>
      </c>
      <c r="C7" s="545" t="s">
        <v>8</v>
      </c>
      <c r="D7" s="600" t="s">
        <v>0</v>
      </c>
      <c r="E7" s="604" t="s">
        <v>43</v>
      </c>
      <c r="F7" s="608" t="s">
        <v>24</v>
      </c>
      <c r="G7" s="609"/>
      <c r="H7" s="610"/>
      <c r="I7" s="548" t="s">
        <v>21</v>
      </c>
      <c r="J7" s="549"/>
      <c r="K7" s="549"/>
      <c r="L7" s="549"/>
      <c r="M7" s="549"/>
      <c r="N7" s="549"/>
      <c r="O7" s="549"/>
      <c r="P7" s="549"/>
      <c r="Q7" s="549"/>
      <c r="R7" s="549"/>
      <c r="S7" s="549"/>
      <c r="T7" s="549"/>
      <c r="U7" s="549"/>
      <c r="V7" s="549"/>
      <c r="W7" s="549"/>
      <c r="X7" s="549"/>
      <c r="Y7" s="549"/>
      <c r="Z7" s="549"/>
      <c r="AA7" s="549"/>
      <c r="AB7" s="549"/>
      <c r="AC7" s="549"/>
      <c r="AD7" s="549"/>
      <c r="AE7" s="549"/>
      <c r="AF7" s="549"/>
      <c r="AG7" s="549"/>
      <c r="AH7" s="550"/>
      <c r="AI7" s="550"/>
      <c r="AJ7" s="550"/>
      <c r="AK7" s="549"/>
      <c r="AL7" s="549"/>
      <c r="AM7" s="549"/>
      <c r="AN7" s="23"/>
    </row>
    <row r="8" spans="2:40" ht="184.5" customHeight="1" x14ac:dyDescent="0.5">
      <c r="B8" s="546"/>
      <c r="C8" s="546"/>
      <c r="D8" s="601"/>
      <c r="E8" s="605"/>
      <c r="F8" s="611"/>
      <c r="G8" s="612"/>
      <c r="H8" s="613"/>
      <c r="I8" s="551" t="s">
        <v>48</v>
      </c>
      <c r="J8" s="552"/>
      <c r="K8" s="553"/>
      <c r="L8" s="519" t="s">
        <v>104</v>
      </c>
      <c r="M8" s="520"/>
      <c r="N8" s="516" t="s">
        <v>105</v>
      </c>
      <c r="O8" s="579" t="s">
        <v>49</v>
      </c>
      <c r="P8" s="580"/>
      <c r="Q8" s="581"/>
      <c r="R8" s="585" t="s">
        <v>111</v>
      </c>
      <c r="S8" s="580"/>
      <c r="T8" s="586" t="s">
        <v>110</v>
      </c>
      <c r="U8" s="591" t="s">
        <v>50</v>
      </c>
      <c r="V8" s="592"/>
      <c r="W8" s="593"/>
      <c r="X8" s="597" t="s">
        <v>108</v>
      </c>
      <c r="Y8" s="598"/>
      <c r="Z8" s="495" t="s">
        <v>106</v>
      </c>
      <c r="AA8" s="498" t="s">
        <v>47</v>
      </c>
      <c r="AB8" s="499"/>
      <c r="AC8" s="500"/>
      <c r="AD8" s="589" t="s">
        <v>109</v>
      </c>
      <c r="AE8" s="590"/>
      <c r="AF8" s="557" t="s">
        <v>107</v>
      </c>
      <c r="AG8" s="560" t="s">
        <v>70</v>
      </c>
      <c r="AH8" s="521" t="s">
        <v>39</v>
      </c>
      <c r="AI8" s="522"/>
      <c r="AJ8" s="523"/>
      <c r="AK8" s="541" t="s">
        <v>42</v>
      </c>
      <c r="AL8" s="542"/>
      <c r="AM8" s="563" t="s">
        <v>23</v>
      </c>
      <c r="AN8" s="136"/>
    </row>
    <row r="9" spans="2:40" ht="141.75" customHeight="1" x14ac:dyDescent="0.5">
      <c r="B9" s="547"/>
      <c r="C9" s="547"/>
      <c r="D9" s="602"/>
      <c r="E9" s="606"/>
      <c r="F9" s="614"/>
      <c r="G9" s="615"/>
      <c r="H9" s="616"/>
      <c r="I9" s="554"/>
      <c r="J9" s="555"/>
      <c r="K9" s="556"/>
      <c r="L9" s="379" t="s">
        <v>148</v>
      </c>
      <c r="M9" s="380" t="s">
        <v>149</v>
      </c>
      <c r="N9" s="517"/>
      <c r="O9" s="582"/>
      <c r="P9" s="583"/>
      <c r="Q9" s="584"/>
      <c r="R9" s="381" t="s">
        <v>150</v>
      </c>
      <c r="S9" s="382" t="s">
        <v>151</v>
      </c>
      <c r="T9" s="587"/>
      <c r="U9" s="594"/>
      <c r="V9" s="595"/>
      <c r="W9" s="596"/>
      <c r="X9" s="383" t="s">
        <v>152</v>
      </c>
      <c r="Y9" s="383" t="s">
        <v>153</v>
      </c>
      <c r="Z9" s="496"/>
      <c r="AA9" s="501"/>
      <c r="AB9" s="502"/>
      <c r="AC9" s="503"/>
      <c r="AD9" s="384" t="s">
        <v>154</v>
      </c>
      <c r="AE9" s="384" t="s">
        <v>155</v>
      </c>
      <c r="AF9" s="558"/>
      <c r="AG9" s="561"/>
      <c r="AH9" s="524"/>
      <c r="AI9" s="525"/>
      <c r="AJ9" s="526"/>
      <c r="AK9" s="543"/>
      <c r="AL9" s="544"/>
      <c r="AM9" s="564"/>
      <c r="AN9" s="136"/>
    </row>
    <row r="10" spans="2:40" ht="85.5" customHeight="1" thickBot="1" x14ac:dyDescent="0.55000000000000004">
      <c r="B10" s="547"/>
      <c r="C10" s="599"/>
      <c r="D10" s="603"/>
      <c r="E10" s="607"/>
      <c r="F10" s="125" t="s">
        <v>25</v>
      </c>
      <c r="G10" s="17" t="s">
        <v>26</v>
      </c>
      <c r="H10" s="126" t="s">
        <v>11</v>
      </c>
      <c r="I10" s="59" t="s">
        <v>9</v>
      </c>
      <c r="J10" s="18" t="s">
        <v>10</v>
      </c>
      <c r="K10" s="100" t="s">
        <v>11</v>
      </c>
      <c r="L10" s="18" t="s">
        <v>9</v>
      </c>
      <c r="M10" s="18" t="s">
        <v>10</v>
      </c>
      <c r="N10" s="518"/>
      <c r="O10" s="61" t="s">
        <v>9</v>
      </c>
      <c r="P10" s="19" t="s">
        <v>10</v>
      </c>
      <c r="Q10" s="19" t="s">
        <v>11</v>
      </c>
      <c r="R10" s="19" t="s">
        <v>9</v>
      </c>
      <c r="S10" s="19" t="s">
        <v>10</v>
      </c>
      <c r="T10" s="588"/>
      <c r="U10" s="113" t="s">
        <v>9</v>
      </c>
      <c r="V10" s="110" t="s">
        <v>10</v>
      </c>
      <c r="W10" s="114" t="s">
        <v>11</v>
      </c>
      <c r="X10" s="110" t="s">
        <v>9</v>
      </c>
      <c r="Y10" s="110" t="s">
        <v>10</v>
      </c>
      <c r="Z10" s="497"/>
      <c r="AA10" s="111" t="s">
        <v>9</v>
      </c>
      <c r="AB10" s="109" t="s">
        <v>10</v>
      </c>
      <c r="AC10" s="112" t="s">
        <v>11</v>
      </c>
      <c r="AD10" s="109" t="s">
        <v>9</v>
      </c>
      <c r="AE10" s="109" t="s">
        <v>10</v>
      </c>
      <c r="AF10" s="559"/>
      <c r="AG10" s="562"/>
      <c r="AH10" s="160" t="s">
        <v>9</v>
      </c>
      <c r="AI10" s="161" t="s">
        <v>10</v>
      </c>
      <c r="AJ10" s="162" t="s">
        <v>11</v>
      </c>
      <c r="AK10" s="61" t="s">
        <v>9</v>
      </c>
      <c r="AL10" s="19" t="s">
        <v>10</v>
      </c>
      <c r="AM10" s="565"/>
      <c r="AN10" s="136"/>
    </row>
    <row r="11" spans="2:40" ht="69.95" customHeight="1" thickTop="1" x14ac:dyDescent="0.5">
      <c r="B11" s="617" t="s">
        <v>40</v>
      </c>
      <c r="C11" s="174">
        <v>1</v>
      </c>
      <c r="D11" s="76" t="s">
        <v>1</v>
      </c>
      <c r="E11" s="163" t="s">
        <v>36</v>
      </c>
      <c r="F11" s="127">
        <v>1</v>
      </c>
      <c r="G11" s="76"/>
      <c r="H11" s="128">
        <f>G11+F11</f>
        <v>1</v>
      </c>
      <c r="I11" s="53">
        <v>19</v>
      </c>
      <c r="J11" s="27">
        <v>0</v>
      </c>
      <c r="K11" s="101">
        <f>I11+J11</f>
        <v>19</v>
      </c>
      <c r="L11" s="73">
        <f>I11*250*100</f>
        <v>475000</v>
      </c>
      <c r="M11" s="40">
        <f>J11*40*180</f>
        <v>0</v>
      </c>
      <c r="N11" s="41">
        <f t="shared" ref="N11:N17" si="0">M11+L11</f>
        <v>475000</v>
      </c>
      <c r="O11" s="53">
        <v>34</v>
      </c>
      <c r="P11" s="27">
        <v>6</v>
      </c>
      <c r="Q11" s="27">
        <f>P11+O11</f>
        <v>40</v>
      </c>
      <c r="R11" s="40">
        <f>O11*100*70</f>
        <v>238000</v>
      </c>
      <c r="S11" s="40">
        <f>P11*40*60</f>
        <v>14400</v>
      </c>
      <c r="T11" s="41">
        <f t="shared" ref="T11:T17" si="1">S11+R11</f>
        <v>252400</v>
      </c>
      <c r="U11" s="53">
        <v>202</v>
      </c>
      <c r="V11" s="27">
        <v>49</v>
      </c>
      <c r="W11" s="27">
        <f>V11+U11</f>
        <v>251</v>
      </c>
      <c r="X11" s="42">
        <f>U11*100*40</f>
        <v>808000</v>
      </c>
      <c r="Y11" s="42">
        <f>V11*40*30</f>
        <v>58800</v>
      </c>
      <c r="Z11" s="43">
        <f t="shared" ref="Z11:Z17" si="2">Y11+X11</f>
        <v>866800</v>
      </c>
      <c r="AA11" s="53">
        <v>2316</v>
      </c>
      <c r="AB11" s="27">
        <v>354</v>
      </c>
      <c r="AC11" s="27">
        <f>AB11+AA11</f>
        <v>2670</v>
      </c>
      <c r="AD11" s="42">
        <f>AA11*100*5</f>
        <v>1158000</v>
      </c>
      <c r="AE11" s="42">
        <f>AB11*40*20</f>
        <v>283200</v>
      </c>
      <c r="AF11" s="43">
        <f t="shared" ref="AF11:AF17" si="3">AE11+AD11</f>
        <v>1441200</v>
      </c>
      <c r="AG11" s="62">
        <f t="shared" ref="AG11:AG17" si="4">AF11+Z11+T11+N11</f>
        <v>3035400</v>
      </c>
      <c r="AH11" s="9">
        <f>AA11+U11+O11</f>
        <v>2552</v>
      </c>
      <c r="AI11" s="7">
        <f>AB11+V11+P11</f>
        <v>409</v>
      </c>
      <c r="AJ11" s="90">
        <f>AI11+AH11</f>
        <v>2961</v>
      </c>
      <c r="AK11" s="92">
        <v>322</v>
      </c>
      <c r="AL11" s="7">
        <v>79</v>
      </c>
      <c r="AM11" s="93">
        <f>AL11+AK11</f>
        <v>401</v>
      </c>
      <c r="AN11" s="136"/>
    </row>
    <row r="12" spans="2:40" ht="69.95" customHeight="1" x14ac:dyDescent="0.5">
      <c r="B12" s="618"/>
      <c r="C12" s="170">
        <v>2</v>
      </c>
      <c r="D12" s="75" t="s">
        <v>12</v>
      </c>
      <c r="E12" s="164" t="s">
        <v>12</v>
      </c>
      <c r="F12" s="88">
        <v>1</v>
      </c>
      <c r="G12" s="75"/>
      <c r="H12" s="129">
        <f>G12+F12</f>
        <v>1</v>
      </c>
      <c r="I12" s="35">
        <v>15</v>
      </c>
      <c r="J12" s="33">
        <v>2</v>
      </c>
      <c r="K12" s="55">
        <f>J12+I12</f>
        <v>17</v>
      </c>
      <c r="L12" s="65">
        <f>I12*250*100</f>
        <v>375000</v>
      </c>
      <c r="M12" s="36">
        <f>J12*40*180</f>
        <v>14400</v>
      </c>
      <c r="N12" s="37">
        <f t="shared" si="0"/>
        <v>389400</v>
      </c>
      <c r="O12" s="35">
        <v>175</v>
      </c>
      <c r="P12" s="33">
        <v>32</v>
      </c>
      <c r="Q12" s="33">
        <f>P12+O12</f>
        <v>207</v>
      </c>
      <c r="R12" s="36">
        <f>O12*100*70</f>
        <v>1225000</v>
      </c>
      <c r="S12" s="36">
        <f>P12*40*60</f>
        <v>76800</v>
      </c>
      <c r="T12" s="37">
        <f t="shared" si="1"/>
        <v>1301800</v>
      </c>
      <c r="U12" s="35">
        <v>1289</v>
      </c>
      <c r="V12" s="33">
        <v>184</v>
      </c>
      <c r="W12" s="33">
        <f>V12+U12</f>
        <v>1473</v>
      </c>
      <c r="X12" s="36">
        <f>U12*100*40</f>
        <v>5156000</v>
      </c>
      <c r="Y12" s="36">
        <f>V12*40*30</f>
        <v>220800</v>
      </c>
      <c r="Z12" s="37">
        <f t="shared" si="2"/>
        <v>5376800</v>
      </c>
      <c r="AA12" s="35">
        <v>625</v>
      </c>
      <c r="AB12" s="33">
        <v>375</v>
      </c>
      <c r="AC12" s="33">
        <f>AB12+AA12</f>
        <v>1000</v>
      </c>
      <c r="AD12" s="36">
        <f>AA12*100*5</f>
        <v>312500</v>
      </c>
      <c r="AE12" s="36">
        <f>AB12*40*20</f>
        <v>300000</v>
      </c>
      <c r="AF12" s="37">
        <f t="shared" si="3"/>
        <v>612500</v>
      </c>
      <c r="AG12" s="60">
        <f t="shared" si="4"/>
        <v>7680500</v>
      </c>
      <c r="AH12" s="11">
        <f>AA12+U12+O12</f>
        <v>2089</v>
      </c>
      <c r="AI12" s="10">
        <f>AB12+V12+P12</f>
        <v>591</v>
      </c>
      <c r="AJ12" s="91">
        <f>AI12+AH12</f>
        <v>2680</v>
      </c>
      <c r="AK12" s="94">
        <v>1567</v>
      </c>
      <c r="AL12" s="10">
        <v>0</v>
      </c>
      <c r="AM12" s="95">
        <f>AL12+AK12</f>
        <v>1567</v>
      </c>
      <c r="AN12" s="136"/>
    </row>
    <row r="13" spans="2:40" ht="69.95" customHeight="1" x14ac:dyDescent="0.5">
      <c r="B13" s="618"/>
      <c r="C13" s="172">
        <v>3</v>
      </c>
      <c r="D13" s="74" t="s">
        <v>6</v>
      </c>
      <c r="E13" s="165" t="s">
        <v>35</v>
      </c>
      <c r="F13" s="89">
        <v>1</v>
      </c>
      <c r="G13" s="74"/>
      <c r="H13" s="128">
        <f t="shared" ref="H13:H17" si="5">G13+F13</f>
        <v>1</v>
      </c>
      <c r="I13" s="39">
        <v>41</v>
      </c>
      <c r="J13" s="38">
        <v>2</v>
      </c>
      <c r="K13" s="101">
        <f t="shared" ref="K13" si="6">I13+J13</f>
        <v>43</v>
      </c>
      <c r="L13" s="73">
        <f t="shared" ref="L13:L17" si="7">I13*250*100</f>
        <v>1025000</v>
      </c>
      <c r="M13" s="40">
        <f t="shared" ref="M13:M17" si="8">J13*40*180</f>
        <v>14400</v>
      </c>
      <c r="N13" s="41">
        <f t="shared" si="0"/>
        <v>1039400</v>
      </c>
      <c r="O13" s="39">
        <v>73</v>
      </c>
      <c r="P13" s="38">
        <v>3</v>
      </c>
      <c r="Q13" s="27">
        <f t="shared" ref="Q13:Q17" si="9">P13+O13</f>
        <v>76</v>
      </c>
      <c r="R13" s="40">
        <f t="shared" ref="R13:R17" si="10">O13*100*70</f>
        <v>511000</v>
      </c>
      <c r="S13" s="40">
        <f t="shared" ref="S13:S17" si="11">P13*40*60</f>
        <v>7200</v>
      </c>
      <c r="T13" s="41">
        <f t="shared" si="1"/>
        <v>518200</v>
      </c>
      <c r="U13" s="39">
        <v>1357</v>
      </c>
      <c r="V13" s="38">
        <v>133</v>
      </c>
      <c r="W13" s="27">
        <f t="shared" ref="W13:W17" si="12">V13+U13</f>
        <v>1490</v>
      </c>
      <c r="X13" s="42">
        <f t="shared" ref="X13:X17" si="13">U13*100*40</f>
        <v>5428000</v>
      </c>
      <c r="Y13" s="42">
        <f t="shared" ref="Y13:Y17" si="14">V13*40*30</f>
        <v>159600</v>
      </c>
      <c r="Z13" s="43">
        <f t="shared" si="2"/>
        <v>5587600</v>
      </c>
      <c r="AA13" s="39">
        <v>633</v>
      </c>
      <c r="AB13" s="38">
        <v>77</v>
      </c>
      <c r="AC13" s="27">
        <f t="shared" ref="AC13:AC17" si="15">AB13+AA13</f>
        <v>710</v>
      </c>
      <c r="AD13" s="42">
        <f t="shared" ref="AD13:AD17" si="16">AA13*100*5</f>
        <v>316500</v>
      </c>
      <c r="AE13" s="42">
        <f t="shared" ref="AE13:AE17" si="17">AB13*40*20</f>
        <v>61600</v>
      </c>
      <c r="AF13" s="43">
        <f t="shared" si="3"/>
        <v>378100</v>
      </c>
      <c r="AG13" s="62">
        <f t="shared" si="4"/>
        <v>7523300</v>
      </c>
      <c r="AH13" s="9">
        <f t="shared" ref="AH13:AH17" si="18">AA13+U13+O13</f>
        <v>2063</v>
      </c>
      <c r="AI13" s="7">
        <f t="shared" ref="AI13:AI17" si="19">AB13+V13+P13</f>
        <v>213</v>
      </c>
      <c r="AJ13" s="90">
        <f t="shared" ref="AJ13:AJ17" si="20">AI13+AH13</f>
        <v>2276</v>
      </c>
      <c r="AK13" s="96">
        <v>598</v>
      </c>
      <c r="AL13" s="12">
        <v>40</v>
      </c>
      <c r="AM13" s="97">
        <f t="shared" ref="AM13:AM17" si="21">AL13+AK13</f>
        <v>638</v>
      </c>
      <c r="AN13" s="136"/>
    </row>
    <row r="14" spans="2:40" ht="69.95" customHeight="1" x14ac:dyDescent="0.5">
      <c r="B14" s="618"/>
      <c r="C14" s="170">
        <v>4</v>
      </c>
      <c r="D14" s="75" t="s">
        <v>22</v>
      </c>
      <c r="E14" s="164" t="s">
        <v>38</v>
      </c>
      <c r="F14" s="88">
        <v>1</v>
      </c>
      <c r="G14" s="75"/>
      <c r="H14" s="129">
        <f t="shared" si="5"/>
        <v>1</v>
      </c>
      <c r="I14" s="35">
        <v>1</v>
      </c>
      <c r="J14" s="33">
        <v>3</v>
      </c>
      <c r="K14" s="55">
        <f t="shared" ref="K14" si="22">J14+I14</f>
        <v>4</v>
      </c>
      <c r="L14" s="65">
        <f t="shared" si="7"/>
        <v>25000</v>
      </c>
      <c r="M14" s="36">
        <f t="shared" si="8"/>
        <v>21600</v>
      </c>
      <c r="N14" s="37">
        <f t="shared" si="0"/>
        <v>46600</v>
      </c>
      <c r="O14" s="35">
        <v>0</v>
      </c>
      <c r="P14" s="33">
        <v>0</v>
      </c>
      <c r="Q14" s="33">
        <f t="shared" si="9"/>
        <v>0</v>
      </c>
      <c r="R14" s="36">
        <f t="shared" si="10"/>
        <v>0</v>
      </c>
      <c r="S14" s="36">
        <f t="shared" si="11"/>
        <v>0</v>
      </c>
      <c r="T14" s="37">
        <f t="shared" si="1"/>
        <v>0</v>
      </c>
      <c r="U14" s="35">
        <v>386</v>
      </c>
      <c r="V14" s="33">
        <v>13</v>
      </c>
      <c r="W14" s="33">
        <f t="shared" si="12"/>
        <v>399</v>
      </c>
      <c r="X14" s="36">
        <f t="shared" si="13"/>
        <v>1544000</v>
      </c>
      <c r="Y14" s="36">
        <f t="shared" si="14"/>
        <v>15600</v>
      </c>
      <c r="Z14" s="37">
        <f t="shared" si="2"/>
        <v>1559600</v>
      </c>
      <c r="AA14" s="35">
        <v>293</v>
      </c>
      <c r="AB14" s="33">
        <v>0</v>
      </c>
      <c r="AC14" s="33">
        <f t="shared" si="15"/>
        <v>293</v>
      </c>
      <c r="AD14" s="36">
        <f t="shared" si="16"/>
        <v>146500</v>
      </c>
      <c r="AE14" s="36">
        <f t="shared" si="17"/>
        <v>0</v>
      </c>
      <c r="AF14" s="37">
        <f t="shared" si="3"/>
        <v>146500</v>
      </c>
      <c r="AG14" s="60">
        <f t="shared" si="4"/>
        <v>1752700</v>
      </c>
      <c r="AH14" s="11">
        <f t="shared" si="18"/>
        <v>679</v>
      </c>
      <c r="AI14" s="10">
        <f t="shared" si="19"/>
        <v>13</v>
      </c>
      <c r="AJ14" s="91">
        <f t="shared" si="20"/>
        <v>692</v>
      </c>
      <c r="AK14" s="94">
        <v>366</v>
      </c>
      <c r="AL14" s="10">
        <v>9</v>
      </c>
      <c r="AM14" s="95">
        <f t="shared" si="21"/>
        <v>375</v>
      </c>
      <c r="AN14" s="136"/>
    </row>
    <row r="15" spans="2:40" ht="69.95" customHeight="1" x14ac:dyDescent="0.5">
      <c r="B15" s="618"/>
      <c r="C15" s="172">
        <v>5</v>
      </c>
      <c r="D15" s="74" t="s">
        <v>19</v>
      </c>
      <c r="E15" s="165" t="s">
        <v>37</v>
      </c>
      <c r="F15" s="89">
        <v>1</v>
      </c>
      <c r="G15" s="74"/>
      <c r="H15" s="128">
        <f t="shared" si="5"/>
        <v>1</v>
      </c>
      <c r="I15" s="39">
        <v>3</v>
      </c>
      <c r="J15" s="38">
        <v>0</v>
      </c>
      <c r="K15" s="101">
        <f t="shared" ref="K15" si="23">I15+J15</f>
        <v>3</v>
      </c>
      <c r="L15" s="73">
        <f t="shared" si="7"/>
        <v>75000</v>
      </c>
      <c r="M15" s="40">
        <f t="shared" si="8"/>
        <v>0</v>
      </c>
      <c r="N15" s="41">
        <f t="shared" si="0"/>
        <v>75000</v>
      </c>
      <c r="O15" s="39">
        <v>37</v>
      </c>
      <c r="P15" s="38">
        <v>5</v>
      </c>
      <c r="Q15" s="27">
        <f t="shared" si="9"/>
        <v>42</v>
      </c>
      <c r="R15" s="40">
        <f t="shared" si="10"/>
        <v>259000</v>
      </c>
      <c r="S15" s="40">
        <f t="shared" si="11"/>
        <v>12000</v>
      </c>
      <c r="T15" s="41">
        <f t="shared" si="1"/>
        <v>271000</v>
      </c>
      <c r="U15" s="39">
        <v>81</v>
      </c>
      <c r="V15" s="38">
        <v>5</v>
      </c>
      <c r="W15" s="27">
        <f t="shared" si="12"/>
        <v>86</v>
      </c>
      <c r="X15" s="42">
        <f t="shared" si="13"/>
        <v>324000</v>
      </c>
      <c r="Y15" s="42">
        <f t="shared" si="14"/>
        <v>6000</v>
      </c>
      <c r="Z15" s="43">
        <f t="shared" si="2"/>
        <v>330000</v>
      </c>
      <c r="AA15" s="39">
        <v>44</v>
      </c>
      <c r="AB15" s="38">
        <v>2</v>
      </c>
      <c r="AC15" s="27">
        <f t="shared" si="15"/>
        <v>46</v>
      </c>
      <c r="AD15" s="42">
        <f t="shared" si="16"/>
        <v>22000</v>
      </c>
      <c r="AE15" s="42">
        <f t="shared" si="17"/>
        <v>1600</v>
      </c>
      <c r="AF15" s="43">
        <f t="shared" si="3"/>
        <v>23600</v>
      </c>
      <c r="AG15" s="62">
        <f t="shared" si="4"/>
        <v>699600</v>
      </c>
      <c r="AH15" s="9">
        <f t="shared" si="18"/>
        <v>162</v>
      </c>
      <c r="AI15" s="7">
        <f t="shared" si="19"/>
        <v>12</v>
      </c>
      <c r="AJ15" s="90">
        <f t="shared" si="20"/>
        <v>174</v>
      </c>
      <c r="AK15" s="96">
        <v>76</v>
      </c>
      <c r="AL15" s="12">
        <v>0</v>
      </c>
      <c r="AM15" s="97">
        <f t="shared" si="21"/>
        <v>76</v>
      </c>
      <c r="AN15" s="136"/>
    </row>
    <row r="16" spans="2:40" ht="69.95" customHeight="1" x14ac:dyDescent="0.5">
      <c r="B16" s="618"/>
      <c r="C16" s="170">
        <v>6</v>
      </c>
      <c r="D16" s="75" t="s">
        <v>15</v>
      </c>
      <c r="E16" s="164" t="s">
        <v>15</v>
      </c>
      <c r="F16" s="88">
        <v>1</v>
      </c>
      <c r="G16" s="75"/>
      <c r="H16" s="129">
        <f t="shared" si="5"/>
        <v>1</v>
      </c>
      <c r="I16" s="35">
        <v>26</v>
      </c>
      <c r="J16" s="33">
        <v>0</v>
      </c>
      <c r="K16" s="55">
        <f t="shared" ref="K16" si="24">J16+I16</f>
        <v>26</v>
      </c>
      <c r="L16" s="65">
        <f t="shared" si="7"/>
        <v>650000</v>
      </c>
      <c r="M16" s="36">
        <f t="shared" si="8"/>
        <v>0</v>
      </c>
      <c r="N16" s="37">
        <f t="shared" si="0"/>
        <v>650000</v>
      </c>
      <c r="O16" s="35">
        <v>198</v>
      </c>
      <c r="P16" s="33">
        <v>45</v>
      </c>
      <c r="Q16" s="33">
        <f t="shared" si="9"/>
        <v>243</v>
      </c>
      <c r="R16" s="36">
        <f t="shared" si="10"/>
        <v>1386000</v>
      </c>
      <c r="S16" s="36">
        <f t="shared" si="11"/>
        <v>108000</v>
      </c>
      <c r="T16" s="37">
        <f t="shared" si="1"/>
        <v>1494000</v>
      </c>
      <c r="U16" s="35">
        <v>930</v>
      </c>
      <c r="V16" s="33">
        <v>220</v>
      </c>
      <c r="W16" s="33">
        <f t="shared" si="12"/>
        <v>1150</v>
      </c>
      <c r="X16" s="36">
        <f t="shared" si="13"/>
        <v>3720000</v>
      </c>
      <c r="Y16" s="36">
        <f t="shared" si="14"/>
        <v>264000</v>
      </c>
      <c r="Z16" s="37">
        <f t="shared" si="2"/>
        <v>3984000</v>
      </c>
      <c r="AA16" s="35">
        <v>821</v>
      </c>
      <c r="AB16" s="33">
        <v>204</v>
      </c>
      <c r="AC16" s="33">
        <f t="shared" si="15"/>
        <v>1025</v>
      </c>
      <c r="AD16" s="36">
        <f t="shared" si="16"/>
        <v>410500</v>
      </c>
      <c r="AE16" s="36">
        <f t="shared" si="17"/>
        <v>163200</v>
      </c>
      <c r="AF16" s="37">
        <f t="shared" si="3"/>
        <v>573700</v>
      </c>
      <c r="AG16" s="60">
        <f t="shared" si="4"/>
        <v>6701700</v>
      </c>
      <c r="AH16" s="11">
        <f t="shared" si="18"/>
        <v>1949</v>
      </c>
      <c r="AI16" s="10">
        <f t="shared" si="19"/>
        <v>469</v>
      </c>
      <c r="AJ16" s="91">
        <f t="shared" si="20"/>
        <v>2418</v>
      </c>
      <c r="AK16" s="94">
        <v>466</v>
      </c>
      <c r="AL16" s="10">
        <v>132</v>
      </c>
      <c r="AM16" s="95">
        <f t="shared" si="21"/>
        <v>598</v>
      </c>
      <c r="AN16" s="136"/>
    </row>
    <row r="17" spans="2:40" ht="69.95" customHeight="1" thickBot="1" x14ac:dyDescent="0.55000000000000004">
      <c r="B17" s="619"/>
      <c r="C17" s="175">
        <v>7</v>
      </c>
      <c r="D17" s="166" t="s">
        <v>5</v>
      </c>
      <c r="E17" s="167" t="s">
        <v>5</v>
      </c>
      <c r="F17" s="130">
        <v>1</v>
      </c>
      <c r="G17" s="77"/>
      <c r="H17" s="128">
        <f t="shared" si="5"/>
        <v>1</v>
      </c>
      <c r="I17" s="45">
        <v>105</v>
      </c>
      <c r="J17" s="44">
        <v>2</v>
      </c>
      <c r="K17" s="101">
        <f t="shared" ref="K17" si="25">I17+J17</f>
        <v>107</v>
      </c>
      <c r="L17" s="73">
        <f t="shared" si="7"/>
        <v>2625000</v>
      </c>
      <c r="M17" s="40">
        <f t="shared" si="8"/>
        <v>14400</v>
      </c>
      <c r="N17" s="41">
        <f t="shared" si="0"/>
        <v>2639400</v>
      </c>
      <c r="O17" s="45">
        <v>164</v>
      </c>
      <c r="P17" s="44">
        <v>24</v>
      </c>
      <c r="Q17" s="27">
        <f t="shared" si="9"/>
        <v>188</v>
      </c>
      <c r="R17" s="40">
        <f t="shared" si="10"/>
        <v>1148000</v>
      </c>
      <c r="S17" s="40">
        <f t="shared" si="11"/>
        <v>57600</v>
      </c>
      <c r="T17" s="41">
        <f t="shared" si="1"/>
        <v>1205600</v>
      </c>
      <c r="U17" s="45">
        <v>260</v>
      </c>
      <c r="V17" s="44">
        <v>52</v>
      </c>
      <c r="W17" s="27">
        <f t="shared" si="12"/>
        <v>312</v>
      </c>
      <c r="X17" s="42">
        <f t="shared" si="13"/>
        <v>1040000</v>
      </c>
      <c r="Y17" s="42">
        <f t="shared" si="14"/>
        <v>62400</v>
      </c>
      <c r="Z17" s="43">
        <f t="shared" si="2"/>
        <v>1102400</v>
      </c>
      <c r="AA17" s="45">
        <v>2765</v>
      </c>
      <c r="AB17" s="44">
        <v>487</v>
      </c>
      <c r="AC17" s="27">
        <f t="shared" si="15"/>
        <v>3252</v>
      </c>
      <c r="AD17" s="42">
        <f t="shared" si="16"/>
        <v>1382500</v>
      </c>
      <c r="AE17" s="42">
        <f t="shared" si="17"/>
        <v>389600</v>
      </c>
      <c r="AF17" s="43">
        <f t="shared" si="3"/>
        <v>1772100</v>
      </c>
      <c r="AG17" s="62">
        <f t="shared" si="4"/>
        <v>6719500</v>
      </c>
      <c r="AH17" s="9">
        <f t="shared" si="18"/>
        <v>3189</v>
      </c>
      <c r="AI17" s="7">
        <f t="shared" si="19"/>
        <v>563</v>
      </c>
      <c r="AJ17" s="90">
        <f t="shared" si="20"/>
        <v>3752</v>
      </c>
      <c r="AK17" s="98">
        <v>696</v>
      </c>
      <c r="AL17" s="20">
        <v>120</v>
      </c>
      <c r="AM17" s="99">
        <f t="shared" si="21"/>
        <v>816</v>
      </c>
      <c r="AN17" s="136"/>
    </row>
    <row r="18" spans="2:40" ht="79.900000000000006" customHeight="1" thickBot="1" x14ac:dyDescent="0.55000000000000004">
      <c r="B18" s="620" t="s">
        <v>52</v>
      </c>
      <c r="C18" s="621"/>
      <c r="D18" s="621"/>
      <c r="E18" s="621"/>
      <c r="F18" s="78">
        <f>SUM(F11:F17)</f>
        <v>7</v>
      </c>
      <c r="G18" s="79">
        <f>SUM(G11:G17)</f>
        <v>0</v>
      </c>
      <c r="H18" s="80">
        <f>SUM(H11:H17)</f>
        <v>7</v>
      </c>
      <c r="I18" s="46">
        <f t="shared" ref="I18:AG18" si="26">SUM(I11:I17)</f>
        <v>210</v>
      </c>
      <c r="J18" s="47">
        <f t="shared" si="26"/>
        <v>9</v>
      </c>
      <c r="K18" s="64">
        <f t="shared" si="26"/>
        <v>219</v>
      </c>
      <c r="L18" s="57">
        <f t="shared" si="26"/>
        <v>5250000</v>
      </c>
      <c r="M18" s="47">
        <f t="shared" si="26"/>
        <v>64800</v>
      </c>
      <c r="N18" s="48">
        <f t="shared" si="26"/>
        <v>5314800</v>
      </c>
      <c r="O18" s="188">
        <f t="shared" si="26"/>
        <v>681</v>
      </c>
      <c r="P18" s="181">
        <f t="shared" si="26"/>
        <v>115</v>
      </c>
      <c r="Q18" s="181">
        <f t="shared" si="26"/>
        <v>796</v>
      </c>
      <c r="R18" s="181">
        <f t="shared" si="26"/>
        <v>4767000</v>
      </c>
      <c r="S18" s="181">
        <f t="shared" si="26"/>
        <v>276000</v>
      </c>
      <c r="T18" s="63">
        <f t="shared" si="26"/>
        <v>5043000</v>
      </c>
      <c r="U18" s="185">
        <f t="shared" si="26"/>
        <v>4505</v>
      </c>
      <c r="V18" s="186">
        <f t="shared" si="26"/>
        <v>656</v>
      </c>
      <c r="W18" s="186">
        <f t="shared" si="26"/>
        <v>5161</v>
      </c>
      <c r="X18" s="186">
        <f t="shared" si="26"/>
        <v>18020000</v>
      </c>
      <c r="Y18" s="186">
        <f t="shared" si="26"/>
        <v>787200</v>
      </c>
      <c r="Z18" s="63">
        <f t="shared" si="26"/>
        <v>18807200</v>
      </c>
      <c r="AA18" s="182">
        <f t="shared" si="26"/>
        <v>7497</v>
      </c>
      <c r="AB18" s="183">
        <f t="shared" si="26"/>
        <v>1499</v>
      </c>
      <c r="AC18" s="183">
        <f t="shared" si="26"/>
        <v>8996</v>
      </c>
      <c r="AD18" s="183">
        <f t="shared" si="26"/>
        <v>3748500</v>
      </c>
      <c r="AE18" s="183">
        <f t="shared" si="26"/>
        <v>1199200</v>
      </c>
      <c r="AF18" s="63">
        <f t="shared" si="26"/>
        <v>4947700</v>
      </c>
      <c r="AG18" s="58">
        <f t="shared" si="26"/>
        <v>34112700</v>
      </c>
      <c r="AH18" s="176">
        <f t="shared" ref="AH18:AM18" si="27">SUM(AH11:AH17)</f>
        <v>12683</v>
      </c>
      <c r="AI18" s="177">
        <f t="shared" si="27"/>
        <v>2270</v>
      </c>
      <c r="AJ18" s="56">
        <f t="shared" si="27"/>
        <v>14953</v>
      </c>
      <c r="AK18" s="148">
        <f t="shared" si="27"/>
        <v>4091</v>
      </c>
      <c r="AL18" s="159">
        <f t="shared" si="27"/>
        <v>380</v>
      </c>
      <c r="AM18" s="137">
        <f t="shared" si="27"/>
        <v>4471</v>
      </c>
      <c r="AN18" s="22"/>
    </row>
    <row r="19" spans="2:40" ht="19.899999999999999" customHeight="1" thickBot="1" x14ac:dyDescent="1.3"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13"/>
      <c r="AI19" s="13"/>
      <c r="AJ19" s="13"/>
      <c r="AK19" s="13"/>
      <c r="AL19" s="194">
        <f>SUM(AL11:AL18)</f>
        <v>760</v>
      </c>
      <c r="AM19" s="194">
        <f>SUM(AM11:AM18)</f>
        <v>8942</v>
      </c>
      <c r="AN19" s="22"/>
    </row>
    <row r="20" spans="2:40" ht="84.95" customHeight="1" x14ac:dyDescent="0.5">
      <c r="B20" s="622" t="s">
        <v>41</v>
      </c>
      <c r="C20" s="168">
        <v>1</v>
      </c>
      <c r="D20" s="169" t="s">
        <v>1</v>
      </c>
      <c r="E20" s="81" t="s">
        <v>77</v>
      </c>
      <c r="F20" s="86">
        <v>14</v>
      </c>
      <c r="G20" s="87">
        <v>17</v>
      </c>
      <c r="H20" s="87">
        <f>G20+F20</f>
        <v>31</v>
      </c>
      <c r="I20" s="28">
        <v>40</v>
      </c>
      <c r="J20" s="29">
        <v>16</v>
      </c>
      <c r="K20" s="30">
        <f>J20+I20</f>
        <v>56</v>
      </c>
      <c r="L20" s="67">
        <f>I20*100*250</f>
        <v>1000000</v>
      </c>
      <c r="M20" s="29">
        <f>J20*40*180</f>
        <v>115200</v>
      </c>
      <c r="N20" s="30">
        <f t="shared" ref="N20:N43" si="28">M20+L20</f>
        <v>1115200</v>
      </c>
      <c r="O20" s="28">
        <v>118</v>
      </c>
      <c r="P20" s="29">
        <v>21</v>
      </c>
      <c r="Q20" s="29">
        <f>P20+O20</f>
        <v>139</v>
      </c>
      <c r="R20" s="29">
        <f>O20*100*70</f>
        <v>826000</v>
      </c>
      <c r="S20" s="29">
        <f>P20*40*60</f>
        <v>50400</v>
      </c>
      <c r="T20" s="30">
        <f>S20+R20</f>
        <v>876400</v>
      </c>
      <c r="U20" s="67">
        <v>1104</v>
      </c>
      <c r="V20" s="29">
        <v>328</v>
      </c>
      <c r="W20" s="31">
        <f>V20+U20</f>
        <v>1432</v>
      </c>
      <c r="X20" s="31">
        <f>U20*100*40</f>
        <v>4416000</v>
      </c>
      <c r="Y20" s="31">
        <f>V20*40*30</f>
        <v>393600</v>
      </c>
      <c r="Z20" s="32">
        <f>Y20+X20</f>
        <v>4809600</v>
      </c>
      <c r="AA20" s="118">
        <v>2490</v>
      </c>
      <c r="AB20" s="31">
        <v>987</v>
      </c>
      <c r="AC20" s="31">
        <f>AB20+AA20</f>
        <v>3477</v>
      </c>
      <c r="AD20" s="31">
        <f>AA20*100*5</f>
        <v>1245000</v>
      </c>
      <c r="AE20" s="31">
        <f>AB20*40*20</f>
        <v>789600</v>
      </c>
      <c r="AF20" s="135">
        <f>AE20+AD20</f>
        <v>2034600</v>
      </c>
      <c r="AG20" s="150">
        <f>AF20+Z20+T20+N20</f>
        <v>8835800</v>
      </c>
      <c r="AH20" s="102">
        <f>AA20+U20+O20</f>
        <v>3712</v>
      </c>
      <c r="AI20" s="8">
        <f>AB20+V20+P20</f>
        <v>1336</v>
      </c>
      <c r="AJ20" s="157">
        <f>AI20+AH20</f>
        <v>5048</v>
      </c>
      <c r="AK20" s="153">
        <v>822</v>
      </c>
      <c r="AL20" s="138">
        <v>201</v>
      </c>
      <c r="AM20" s="103">
        <f>AL20+AK20</f>
        <v>1023</v>
      </c>
      <c r="AN20" s="142"/>
    </row>
    <row r="21" spans="2:40" ht="84.95" customHeight="1" x14ac:dyDescent="0.5">
      <c r="B21" s="623"/>
      <c r="C21" s="170">
        <v>2</v>
      </c>
      <c r="D21" s="171" t="s">
        <v>12</v>
      </c>
      <c r="E21" s="82" t="s">
        <v>59</v>
      </c>
      <c r="F21" s="88">
        <v>30</v>
      </c>
      <c r="G21" s="75">
        <v>12</v>
      </c>
      <c r="H21" s="75">
        <f>G21+F21</f>
        <v>42</v>
      </c>
      <c r="I21" s="35">
        <v>22</v>
      </c>
      <c r="J21" s="33">
        <v>16</v>
      </c>
      <c r="K21" s="55">
        <f>J21+I21</f>
        <v>38</v>
      </c>
      <c r="L21" s="65">
        <f>I21*100*250</f>
        <v>550000</v>
      </c>
      <c r="M21" s="33">
        <f>J21*40*180</f>
        <v>115200</v>
      </c>
      <c r="N21" s="55">
        <f t="shared" si="28"/>
        <v>665200</v>
      </c>
      <c r="O21" s="35">
        <v>360</v>
      </c>
      <c r="P21" s="33">
        <v>23</v>
      </c>
      <c r="Q21" s="33">
        <f>P21+O21</f>
        <v>383</v>
      </c>
      <c r="R21" s="33">
        <f>O21*100*70</f>
        <v>2520000</v>
      </c>
      <c r="S21" s="33">
        <f>P21*40*60</f>
        <v>55200</v>
      </c>
      <c r="T21" s="55">
        <f>S21+R21</f>
        <v>2575200</v>
      </c>
      <c r="U21" s="65">
        <v>1563</v>
      </c>
      <c r="V21" s="33">
        <v>143</v>
      </c>
      <c r="W21" s="33">
        <f>V21+U21</f>
        <v>1706</v>
      </c>
      <c r="X21" s="33">
        <f>U21*100*40</f>
        <v>6252000</v>
      </c>
      <c r="Y21" s="33">
        <f>V21*40*30</f>
        <v>171600</v>
      </c>
      <c r="Z21" s="55">
        <f>Y21+X21</f>
        <v>6423600</v>
      </c>
      <c r="AA21" s="65">
        <v>4073</v>
      </c>
      <c r="AB21" s="33">
        <v>374</v>
      </c>
      <c r="AC21" s="33">
        <f>AB21+AA21</f>
        <v>4447</v>
      </c>
      <c r="AD21" s="71">
        <f>AA21*100*5</f>
        <v>2036500</v>
      </c>
      <c r="AE21" s="71">
        <f>AB21*40*20</f>
        <v>299200</v>
      </c>
      <c r="AF21" s="34">
        <f>AE21+AD21</f>
        <v>2335700</v>
      </c>
      <c r="AG21" s="151">
        <f>AF21+Z21+T21+N21</f>
        <v>11999700</v>
      </c>
      <c r="AH21" s="94">
        <f>AA21+U21+O21</f>
        <v>5996</v>
      </c>
      <c r="AI21" s="10">
        <f>AB21+V21+P21</f>
        <v>540</v>
      </c>
      <c r="AJ21" s="69">
        <f>AI21+AH21</f>
        <v>6536</v>
      </c>
      <c r="AK21" s="154">
        <v>1796</v>
      </c>
      <c r="AL21" s="139">
        <v>0</v>
      </c>
      <c r="AM21" s="104">
        <f>AL21+AK21</f>
        <v>1796</v>
      </c>
      <c r="AN21" s="142"/>
    </row>
    <row r="22" spans="2:40" ht="84.95" customHeight="1" x14ac:dyDescent="0.5">
      <c r="B22" s="623"/>
      <c r="C22" s="172">
        <v>3</v>
      </c>
      <c r="D22" s="173" t="s">
        <v>6</v>
      </c>
      <c r="E22" s="83" t="s">
        <v>87</v>
      </c>
      <c r="F22" s="89">
        <v>13</v>
      </c>
      <c r="G22" s="74">
        <v>7</v>
      </c>
      <c r="H22" s="74">
        <f t="shared" ref="H22:H43" si="29">G22+F22</f>
        <v>20</v>
      </c>
      <c r="I22" s="39">
        <v>59</v>
      </c>
      <c r="J22" s="38">
        <v>23</v>
      </c>
      <c r="K22" s="51">
        <f t="shared" ref="K22:K43" si="30">J22+I22</f>
        <v>82</v>
      </c>
      <c r="L22" s="66">
        <f t="shared" ref="L22:L43" si="31">I22*100*250</f>
        <v>1475000</v>
      </c>
      <c r="M22" s="38">
        <f t="shared" ref="M22:M43" si="32">J22*40*180</f>
        <v>165600</v>
      </c>
      <c r="N22" s="51">
        <f t="shared" si="28"/>
        <v>1640600</v>
      </c>
      <c r="O22" s="39">
        <v>350</v>
      </c>
      <c r="P22" s="38">
        <v>22</v>
      </c>
      <c r="Q22" s="38">
        <f t="shared" ref="Q22:Q43" si="33">P22+O22</f>
        <v>372</v>
      </c>
      <c r="R22" s="38">
        <f t="shared" ref="R22:R43" si="34">O22*100*70</f>
        <v>2450000</v>
      </c>
      <c r="S22" s="38">
        <f t="shared" ref="S22:S43" si="35">P22*40*60</f>
        <v>52800</v>
      </c>
      <c r="T22" s="51">
        <f t="shared" ref="T22:T43" si="36">S22+R22</f>
        <v>2502800</v>
      </c>
      <c r="U22" s="66">
        <v>699</v>
      </c>
      <c r="V22" s="38">
        <v>66</v>
      </c>
      <c r="W22" s="49">
        <f t="shared" ref="W22:W43" si="37">V22+U22</f>
        <v>765</v>
      </c>
      <c r="X22" s="49">
        <f t="shared" ref="X22:X43" si="38">U22*100*40</f>
        <v>2796000</v>
      </c>
      <c r="Y22" s="49">
        <f t="shared" ref="Y22:Y43" si="39">V22*40*30</f>
        <v>79200</v>
      </c>
      <c r="Z22" s="52">
        <f t="shared" ref="Z22:Z43" si="40">Y22+X22</f>
        <v>2875200</v>
      </c>
      <c r="AA22" s="68">
        <v>1351</v>
      </c>
      <c r="AB22" s="49">
        <v>222</v>
      </c>
      <c r="AC22" s="49">
        <f t="shared" ref="AC22:AC43" si="41">AB22+AA22</f>
        <v>1573</v>
      </c>
      <c r="AD22" s="49">
        <f t="shared" ref="AD22:AD43" si="42">AA22*100*5</f>
        <v>675500</v>
      </c>
      <c r="AE22" s="49">
        <f t="shared" ref="AE22:AE43" si="43">AB22*40*20</f>
        <v>177600</v>
      </c>
      <c r="AF22" s="131">
        <f t="shared" ref="AF22:AF43" si="44">AE22+AD22</f>
        <v>853100</v>
      </c>
      <c r="AG22" s="152">
        <f t="shared" ref="AG22:AG43" si="45">AF22+Z22+T22+N22</f>
        <v>7871700</v>
      </c>
      <c r="AH22" s="105">
        <f t="shared" ref="AH22:AH43" si="46">AA22+U22+O22</f>
        <v>2400</v>
      </c>
      <c r="AI22" s="14">
        <f t="shared" ref="AI22:AI43" si="47">AB22+V22+P22</f>
        <v>310</v>
      </c>
      <c r="AJ22" s="70">
        <f t="shared" ref="AJ22:AJ43" si="48">AI22+AH22</f>
        <v>2710</v>
      </c>
      <c r="AK22" s="155">
        <v>848</v>
      </c>
      <c r="AL22" s="140">
        <v>24</v>
      </c>
      <c r="AM22" s="106">
        <f t="shared" ref="AM22:AM43" si="49">AL22+AK22</f>
        <v>872</v>
      </c>
      <c r="AN22" s="142"/>
    </row>
    <row r="23" spans="2:40" ht="84.95" customHeight="1" x14ac:dyDescent="0.5">
      <c r="B23" s="623"/>
      <c r="C23" s="170">
        <v>4</v>
      </c>
      <c r="D23" s="171" t="s">
        <v>22</v>
      </c>
      <c r="E23" s="82" t="s">
        <v>76</v>
      </c>
      <c r="F23" s="88">
        <v>12</v>
      </c>
      <c r="G23" s="75">
        <v>20</v>
      </c>
      <c r="H23" s="75">
        <f t="shared" si="29"/>
        <v>32</v>
      </c>
      <c r="I23" s="35">
        <v>59</v>
      </c>
      <c r="J23" s="33">
        <v>6</v>
      </c>
      <c r="K23" s="55">
        <f t="shared" si="30"/>
        <v>65</v>
      </c>
      <c r="L23" s="65">
        <f t="shared" si="31"/>
        <v>1475000</v>
      </c>
      <c r="M23" s="33">
        <f t="shared" si="32"/>
        <v>43200</v>
      </c>
      <c r="N23" s="55">
        <f t="shared" si="28"/>
        <v>1518200</v>
      </c>
      <c r="O23" s="35">
        <v>351</v>
      </c>
      <c r="P23" s="33">
        <v>5</v>
      </c>
      <c r="Q23" s="33">
        <f t="shared" si="33"/>
        <v>356</v>
      </c>
      <c r="R23" s="33">
        <f t="shared" si="34"/>
        <v>2457000</v>
      </c>
      <c r="S23" s="33">
        <f t="shared" si="35"/>
        <v>12000</v>
      </c>
      <c r="T23" s="55">
        <f t="shared" si="36"/>
        <v>2469000</v>
      </c>
      <c r="U23" s="65">
        <v>3662</v>
      </c>
      <c r="V23" s="33">
        <v>264</v>
      </c>
      <c r="W23" s="33">
        <f t="shared" si="37"/>
        <v>3926</v>
      </c>
      <c r="X23" s="33">
        <f t="shared" si="38"/>
        <v>14648000</v>
      </c>
      <c r="Y23" s="33">
        <f t="shared" si="39"/>
        <v>316800</v>
      </c>
      <c r="Z23" s="55">
        <f t="shared" si="40"/>
        <v>14964800</v>
      </c>
      <c r="AA23" s="65">
        <v>2496</v>
      </c>
      <c r="AB23" s="33">
        <v>404</v>
      </c>
      <c r="AC23" s="33">
        <f t="shared" si="41"/>
        <v>2900</v>
      </c>
      <c r="AD23" s="33">
        <f t="shared" si="42"/>
        <v>1248000</v>
      </c>
      <c r="AE23" s="33">
        <f t="shared" si="43"/>
        <v>323200</v>
      </c>
      <c r="AF23" s="34">
        <f t="shared" si="44"/>
        <v>1571200</v>
      </c>
      <c r="AG23" s="151">
        <f t="shared" si="45"/>
        <v>20523200</v>
      </c>
      <c r="AH23" s="94">
        <f t="shared" si="46"/>
        <v>6509</v>
      </c>
      <c r="AI23" s="10">
        <f t="shared" si="47"/>
        <v>673</v>
      </c>
      <c r="AJ23" s="69">
        <f t="shared" si="48"/>
        <v>7182</v>
      </c>
      <c r="AK23" s="154">
        <v>2759</v>
      </c>
      <c r="AL23" s="139">
        <v>259</v>
      </c>
      <c r="AM23" s="104">
        <f t="shared" si="49"/>
        <v>3018</v>
      </c>
      <c r="AN23" s="136"/>
    </row>
    <row r="24" spans="2:40" ht="84.95" customHeight="1" x14ac:dyDescent="0.5">
      <c r="B24" s="623"/>
      <c r="C24" s="172">
        <v>5</v>
      </c>
      <c r="D24" s="173" t="s">
        <v>19</v>
      </c>
      <c r="E24" s="84" t="s">
        <v>86</v>
      </c>
      <c r="F24" s="89">
        <v>3</v>
      </c>
      <c r="G24" s="74">
        <v>7</v>
      </c>
      <c r="H24" s="74">
        <f t="shared" si="29"/>
        <v>10</v>
      </c>
      <c r="I24" s="39">
        <v>9</v>
      </c>
      <c r="J24" s="38">
        <v>0</v>
      </c>
      <c r="K24" s="51">
        <f t="shared" si="30"/>
        <v>9</v>
      </c>
      <c r="L24" s="66">
        <f t="shared" si="31"/>
        <v>225000</v>
      </c>
      <c r="M24" s="38">
        <f t="shared" si="32"/>
        <v>0</v>
      </c>
      <c r="N24" s="51">
        <f t="shared" si="28"/>
        <v>225000</v>
      </c>
      <c r="O24" s="39">
        <v>156</v>
      </c>
      <c r="P24" s="38">
        <v>15</v>
      </c>
      <c r="Q24" s="38">
        <f t="shared" si="33"/>
        <v>171</v>
      </c>
      <c r="R24" s="38">
        <f t="shared" si="34"/>
        <v>1092000</v>
      </c>
      <c r="S24" s="38">
        <f t="shared" si="35"/>
        <v>36000</v>
      </c>
      <c r="T24" s="51">
        <f t="shared" si="36"/>
        <v>1128000</v>
      </c>
      <c r="U24" s="66">
        <v>33</v>
      </c>
      <c r="V24" s="38">
        <v>3</v>
      </c>
      <c r="W24" s="49">
        <f t="shared" si="37"/>
        <v>36</v>
      </c>
      <c r="X24" s="49">
        <f t="shared" si="38"/>
        <v>132000</v>
      </c>
      <c r="Y24" s="49">
        <f t="shared" si="39"/>
        <v>3600</v>
      </c>
      <c r="Z24" s="52">
        <f t="shared" si="40"/>
        <v>135600</v>
      </c>
      <c r="AA24" s="68">
        <v>81</v>
      </c>
      <c r="AB24" s="49">
        <v>3</v>
      </c>
      <c r="AC24" s="49">
        <f t="shared" si="41"/>
        <v>84</v>
      </c>
      <c r="AD24" s="49">
        <f t="shared" si="42"/>
        <v>40500</v>
      </c>
      <c r="AE24" s="49">
        <f t="shared" si="43"/>
        <v>2400</v>
      </c>
      <c r="AF24" s="131">
        <f t="shared" si="44"/>
        <v>42900</v>
      </c>
      <c r="AG24" s="152">
        <f t="shared" si="45"/>
        <v>1531500</v>
      </c>
      <c r="AH24" s="105">
        <f t="shared" si="46"/>
        <v>270</v>
      </c>
      <c r="AI24" s="14">
        <f t="shared" si="47"/>
        <v>21</v>
      </c>
      <c r="AJ24" s="70">
        <f t="shared" si="48"/>
        <v>291</v>
      </c>
      <c r="AK24" s="155">
        <v>82</v>
      </c>
      <c r="AL24" s="140">
        <v>0</v>
      </c>
      <c r="AM24" s="106">
        <f t="shared" si="49"/>
        <v>82</v>
      </c>
      <c r="AN24" s="136"/>
    </row>
    <row r="25" spans="2:40" ht="84.95" customHeight="1" x14ac:dyDescent="0.5">
      <c r="B25" s="623"/>
      <c r="C25" s="170">
        <v>6</v>
      </c>
      <c r="D25" s="171" t="s">
        <v>15</v>
      </c>
      <c r="E25" s="85" t="s">
        <v>45</v>
      </c>
      <c r="F25" s="88">
        <v>0</v>
      </c>
      <c r="G25" s="75">
        <v>3</v>
      </c>
      <c r="H25" s="75">
        <f t="shared" si="29"/>
        <v>3</v>
      </c>
      <c r="I25" s="35">
        <v>0</v>
      </c>
      <c r="J25" s="33">
        <v>0</v>
      </c>
      <c r="K25" s="55">
        <f t="shared" si="30"/>
        <v>0</v>
      </c>
      <c r="L25" s="65">
        <f t="shared" si="31"/>
        <v>0</v>
      </c>
      <c r="M25" s="33">
        <f t="shared" si="32"/>
        <v>0</v>
      </c>
      <c r="N25" s="55">
        <f t="shared" si="28"/>
        <v>0</v>
      </c>
      <c r="O25" s="35">
        <v>0</v>
      </c>
      <c r="P25" s="33">
        <v>0</v>
      </c>
      <c r="Q25" s="33">
        <f t="shared" si="33"/>
        <v>0</v>
      </c>
      <c r="R25" s="33">
        <f t="shared" si="34"/>
        <v>0</v>
      </c>
      <c r="S25" s="33">
        <f t="shared" si="35"/>
        <v>0</v>
      </c>
      <c r="T25" s="55">
        <f t="shared" si="36"/>
        <v>0</v>
      </c>
      <c r="U25" s="65">
        <v>21</v>
      </c>
      <c r="V25" s="33">
        <v>0</v>
      </c>
      <c r="W25" s="33">
        <f t="shared" si="37"/>
        <v>21</v>
      </c>
      <c r="X25" s="33">
        <f t="shared" si="38"/>
        <v>84000</v>
      </c>
      <c r="Y25" s="33">
        <f t="shared" si="39"/>
        <v>0</v>
      </c>
      <c r="Z25" s="55">
        <f t="shared" si="40"/>
        <v>84000</v>
      </c>
      <c r="AA25" s="65">
        <v>42</v>
      </c>
      <c r="AB25" s="33">
        <v>0</v>
      </c>
      <c r="AC25" s="33">
        <f t="shared" si="41"/>
        <v>42</v>
      </c>
      <c r="AD25" s="33">
        <f t="shared" si="42"/>
        <v>21000</v>
      </c>
      <c r="AE25" s="33">
        <f t="shared" si="43"/>
        <v>0</v>
      </c>
      <c r="AF25" s="34">
        <f t="shared" si="44"/>
        <v>21000</v>
      </c>
      <c r="AG25" s="151">
        <f t="shared" si="45"/>
        <v>105000</v>
      </c>
      <c r="AH25" s="94">
        <f t="shared" si="46"/>
        <v>63</v>
      </c>
      <c r="AI25" s="10">
        <f t="shared" si="47"/>
        <v>0</v>
      </c>
      <c r="AJ25" s="69">
        <f t="shared" si="48"/>
        <v>63</v>
      </c>
      <c r="AK25" s="154">
        <v>0</v>
      </c>
      <c r="AL25" s="139">
        <v>0</v>
      </c>
      <c r="AM25" s="104">
        <f t="shared" si="49"/>
        <v>0</v>
      </c>
      <c r="AN25" s="136"/>
    </row>
    <row r="26" spans="2:40" ht="84.95" customHeight="1" x14ac:dyDescent="0.5">
      <c r="B26" s="623"/>
      <c r="C26" s="172">
        <v>7</v>
      </c>
      <c r="D26" s="173" t="s">
        <v>5</v>
      </c>
      <c r="E26" s="83" t="s">
        <v>58</v>
      </c>
      <c r="F26" s="89">
        <v>17</v>
      </c>
      <c r="G26" s="74">
        <v>9</v>
      </c>
      <c r="H26" s="74">
        <f t="shared" si="29"/>
        <v>26</v>
      </c>
      <c r="I26" s="50">
        <v>50</v>
      </c>
      <c r="J26" s="49">
        <v>11</v>
      </c>
      <c r="K26" s="51">
        <f t="shared" si="30"/>
        <v>61</v>
      </c>
      <c r="L26" s="66">
        <f t="shared" si="31"/>
        <v>1250000</v>
      </c>
      <c r="M26" s="38">
        <f t="shared" si="32"/>
        <v>79200</v>
      </c>
      <c r="N26" s="51">
        <f t="shared" si="28"/>
        <v>1329200</v>
      </c>
      <c r="O26" s="50">
        <v>236</v>
      </c>
      <c r="P26" s="49">
        <v>31</v>
      </c>
      <c r="Q26" s="38">
        <f t="shared" si="33"/>
        <v>267</v>
      </c>
      <c r="R26" s="38">
        <f t="shared" si="34"/>
        <v>1652000</v>
      </c>
      <c r="S26" s="38">
        <f t="shared" si="35"/>
        <v>74400</v>
      </c>
      <c r="T26" s="51">
        <f t="shared" si="36"/>
        <v>1726400</v>
      </c>
      <c r="U26" s="68">
        <v>969</v>
      </c>
      <c r="V26" s="49">
        <v>86</v>
      </c>
      <c r="W26" s="49">
        <f t="shared" si="37"/>
        <v>1055</v>
      </c>
      <c r="X26" s="49">
        <f t="shared" si="38"/>
        <v>3876000</v>
      </c>
      <c r="Y26" s="49">
        <f t="shared" si="39"/>
        <v>103200</v>
      </c>
      <c r="Z26" s="52">
        <f t="shared" si="40"/>
        <v>3979200</v>
      </c>
      <c r="AA26" s="68">
        <v>8520</v>
      </c>
      <c r="AB26" s="49">
        <v>1272</v>
      </c>
      <c r="AC26" s="49">
        <f t="shared" si="41"/>
        <v>9792</v>
      </c>
      <c r="AD26" s="49">
        <f t="shared" si="42"/>
        <v>4260000</v>
      </c>
      <c r="AE26" s="49">
        <f t="shared" si="43"/>
        <v>1017600</v>
      </c>
      <c r="AF26" s="131">
        <f t="shared" si="44"/>
        <v>5277600</v>
      </c>
      <c r="AG26" s="152">
        <f t="shared" si="45"/>
        <v>12312400</v>
      </c>
      <c r="AH26" s="105">
        <f t="shared" si="46"/>
        <v>9725</v>
      </c>
      <c r="AI26" s="14">
        <f t="shared" si="47"/>
        <v>1389</v>
      </c>
      <c r="AJ26" s="70">
        <f t="shared" si="48"/>
        <v>11114</v>
      </c>
      <c r="AK26" s="155">
        <v>1733</v>
      </c>
      <c r="AL26" s="140">
        <v>128</v>
      </c>
      <c r="AM26" s="106">
        <f t="shared" si="49"/>
        <v>1861</v>
      </c>
      <c r="AN26" s="136"/>
    </row>
    <row r="27" spans="2:40" ht="84.95" customHeight="1" x14ac:dyDescent="0.5">
      <c r="B27" s="623"/>
      <c r="C27" s="170">
        <v>8</v>
      </c>
      <c r="D27" s="171" t="s">
        <v>4</v>
      </c>
      <c r="E27" s="82" t="s">
        <v>82</v>
      </c>
      <c r="F27" s="88">
        <v>16</v>
      </c>
      <c r="G27" s="75">
        <v>3</v>
      </c>
      <c r="H27" s="75">
        <f t="shared" si="29"/>
        <v>19</v>
      </c>
      <c r="I27" s="35">
        <v>155</v>
      </c>
      <c r="J27" s="33">
        <v>27</v>
      </c>
      <c r="K27" s="55">
        <f t="shared" si="30"/>
        <v>182</v>
      </c>
      <c r="L27" s="65">
        <f t="shared" si="31"/>
        <v>3875000</v>
      </c>
      <c r="M27" s="33">
        <f t="shared" si="32"/>
        <v>194400</v>
      </c>
      <c r="N27" s="55">
        <f t="shared" si="28"/>
        <v>4069400</v>
      </c>
      <c r="O27" s="35">
        <v>403</v>
      </c>
      <c r="P27" s="33">
        <v>65</v>
      </c>
      <c r="Q27" s="33">
        <f t="shared" si="33"/>
        <v>468</v>
      </c>
      <c r="R27" s="33">
        <f t="shared" si="34"/>
        <v>2821000</v>
      </c>
      <c r="S27" s="33">
        <f t="shared" si="35"/>
        <v>156000</v>
      </c>
      <c r="T27" s="55">
        <f t="shared" si="36"/>
        <v>2977000</v>
      </c>
      <c r="U27" s="65">
        <v>4724</v>
      </c>
      <c r="V27" s="33">
        <v>410</v>
      </c>
      <c r="W27" s="33">
        <f t="shared" si="37"/>
        <v>5134</v>
      </c>
      <c r="X27" s="33">
        <f t="shared" si="38"/>
        <v>18896000</v>
      </c>
      <c r="Y27" s="33">
        <f t="shared" si="39"/>
        <v>492000</v>
      </c>
      <c r="Z27" s="55">
        <f t="shared" si="40"/>
        <v>19388000</v>
      </c>
      <c r="AA27" s="65">
        <v>4459</v>
      </c>
      <c r="AB27" s="33">
        <v>705</v>
      </c>
      <c r="AC27" s="33">
        <f t="shared" si="41"/>
        <v>5164</v>
      </c>
      <c r="AD27" s="33">
        <f t="shared" si="42"/>
        <v>2229500</v>
      </c>
      <c r="AE27" s="33">
        <f t="shared" si="43"/>
        <v>564000</v>
      </c>
      <c r="AF27" s="34">
        <f t="shared" si="44"/>
        <v>2793500</v>
      </c>
      <c r="AG27" s="151">
        <f t="shared" si="45"/>
        <v>29227900</v>
      </c>
      <c r="AH27" s="94">
        <f t="shared" si="46"/>
        <v>9586</v>
      </c>
      <c r="AI27" s="10">
        <f t="shared" si="47"/>
        <v>1180</v>
      </c>
      <c r="AJ27" s="69">
        <f t="shared" si="48"/>
        <v>10766</v>
      </c>
      <c r="AK27" s="154">
        <v>3344</v>
      </c>
      <c r="AL27" s="139">
        <v>468</v>
      </c>
      <c r="AM27" s="104">
        <f t="shared" si="49"/>
        <v>3812</v>
      </c>
      <c r="AN27" s="136"/>
    </row>
    <row r="28" spans="2:40" ht="84.95" customHeight="1" x14ac:dyDescent="0.5">
      <c r="B28" s="623"/>
      <c r="C28" s="172">
        <v>9</v>
      </c>
      <c r="D28" s="173" t="s">
        <v>7</v>
      </c>
      <c r="E28" s="83" t="s">
        <v>29</v>
      </c>
      <c r="F28" s="89">
        <v>13</v>
      </c>
      <c r="G28" s="74">
        <v>3</v>
      </c>
      <c r="H28" s="74">
        <f t="shared" si="29"/>
        <v>16</v>
      </c>
      <c r="I28" s="50">
        <v>57</v>
      </c>
      <c r="J28" s="49">
        <v>21</v>
      </c>
      <c r="K28" s="51">
        <f t="shared" si="30"/>
        <v>78</v>
      </c>
      <c r="L28" s="66">
        <f t="shared" si="31"/>
        <v>1425000</v>
      </c>
      <c r="M28" s="38">
        <f t="shared" si="32"/>
        <v>151200</v>
      </c>
      <c r="N28" s="51">
        <f t="shared" si="28"/>
        <v>1576200</v>
      </c>
      <c r="O28" s="50">
        <v>606</v>
      </c>
      <c r="P28" s="49">
        <v>121</v>
      </c>
      <c r="Q28" s="38">
        <f t="shared" si="33"/>
        <v>727</v>
      </c>
      <c r="R28" s="38">
        <f t="shared" si="34"/>
        <v>4242000</v>
      </c>
      <c r="S28" s="38">
        <f t="shared" si="35"/>
        <v>290400</v>
      </c>
      <c r="T28" s="51">
        <f t="shared" si="36"/>
        <v>4532400</v>
      </c>
      <c r="U28" s="68">
        <v>1133</v>
      </c>
      <c r="V28" s="49">
        <v>231</v>
      </c>
      <c r="W28" s="49">
        <f t="shared" si="37"/>
        <v>1364</v>
      </c>
      <c r="X28" s="49">
        <f t="shared" si="38"/>
        <v>4532000</v>
      </c>
      <c r="Y28" s="49">
        <f t="shared" si="39"/>
        <v>277200</v>
      </c>
      <c r="Z28" s="52">
        <f t="shared" si="40"/>
        <v>4809200</v>
      </c>
      <c r="AA28" s="68">
        <v>5612</v>
      </c>
      <c r="AB28" s="49">
        <v>1547</v>
      </c>
      <c r="AC28" s="49">
        <f t="shared" si="41"/>
        <v>7159</v>
      </c>
      <c r="AD28" s="49">
        <f t="shared" si="42"/>
        <v>2806000</v>
      </c>
      <c r="AE28" s="49">
        <f t="shared" si="43"/>
        <v>1237600</v>
      </c>
      <c r="AF28" s="131">
        <f t="shared" si="44"/>
        <v>4043600</v>
      </c>
      <c r="AG28" s="152">
        <f t="shared" si="45"/>
        <v>14961400</v>
      </c>
      <c r="AH28" s="105">
        <f t="shared" si="46"/>
        <v>7351</v>
      </c>
      <c r="AI28" s="14">
        <f t="shared" si="47"/>
        <v>1899</v>
      </c>
      <c r="AJ28" s="70">
        <f t="shared" si="48"/>
        <v>9250</v>
      </c>
      <c r="AK28" s="155">
        <v>2282</v>
      </c>
      <c r="AL28" s="140">
        <v>727</v>
      </c>
      <c r="AM28" s="106">
        <f t="shared" si="49"/>
        <v>3009</v>
      </c>
      <c r="AN28" s="136"/>
    </row>
    <row r="29" spans="2:40" ht="84.95" customHeight="1" x14ac:dyDescent="0.5">
      <c r="B29" s="623"/>
      <c r="C29" s="170">
        <v>10</v>
      </c>
      <c r="D29" s="171" t="s">
        <v>3</v>
      </c>
      <c r="E29" s="85" t="s">
        <v>84</v>
      </c>
      <c r="F29" s="88">
        <v>8</v>
      </c>
      <c r="G29" s="75">
        <v>13</v>
      </c>
      <c r="H29" s="75">
        <f t="shared" si="29"/>
        <v>21</v>
      </c>
      <c r="I29" s="35">
        <v>2</v>
      </c>
      <c r="J29" s="33">
        <v>0</v>
      </c>
      <c r="K29" s="55">
        <f t="shared" si="30"/>
        <v>2</v>
      </c>
      <c r="L29" s="65">
        <f t="shared" si="31"/>
        <v>50000</v>
      </c>
      <c r="M29" s="33">
        <f t="shared" si="32"/>
        <v>0</v>
      </c>
      <c r="N29" s="55">
        <f t="shared" si="28"/>
        <v>50000</v>
      </c>
      <c r="O29" s="35">
        <v>14</v>
      </c>
      <c r="P29" s="33">
        <v>0</v>
      </c>
      <c r="Q29" s="33">
        <f t="shared" si="33"/>
        <v>14</v>
      </c>
      <c r="R29" s="33">
        <f t="shared" si="34"/>
        <v>98000</v>
      </c>
      <c r="S29" s="33">
        <f t="shared" si="35"/>
        <v>0</v>
      </c>
      <c r="T29" s="55">
        <f t="shared" si="36"/>
        <v>98000</v>
      </c>
      <c r="U29" s="65">
        <v>3194</v>
      </c>
      <c r="V29" s="33">
        <v>368</v>
      </c>
      <c r="W29" s="33">
        <f t="shared" si="37"/>
        <v>3562</v>
      </c>
      <c r="X29" s="33">
        <f t="shared" si="38"/>
        <v>12776000</v>
      </c>
      <c r="Y29" s="33">
        <f t="shared" si="39"/>
        <v>441600</v>
      </c>
      <c r="Z29" s="55">
        <f t="shared" si="40"/>
        <v>13217600</v>
      </c>
      <c r="AA29" s="65">
        <v>2332</v>
      </c>
      <c r="AB29" s="33">
        <v>362</v>
      </c>
      <c r="AC29" s="33">
        <f t="shared" si="41"/>
        <v>2694</v>
      </c>
      <c r="AD29" s="33">
        <f t="shared" si="42"/>
        <v>1166000</v>
      </c>
      <c r="AE29" s="33">
        <f t="shared" si="43"/>
        <v>289600</v>
      </c>
      <c r="AF29" s="34">
        <f t="shared" si="44"/>
        <v>1455600</v>
      </c>
      <c r="AG29" s="151">
        <f t="shared" si="45"/>
        <v>14821200</v>
      </c>
      <c r="AH29" s="94">
        <f t="shared" si="46"/>
        <v>5540</v>
      </c>
      <c r="AI29" s="10">
        <f t="shared" si="47"/>
        <v>730</v>
      </c>
      <c r="AJ29" s="69">
        <f t="shared" si="48"/>
        <v>6270</v>
      </c>
      <c r="AK29" s="154">
        <v>1605</v>
      </c>
      <c r="AL29" s="139">
        <v>117</v>
      </c>
      <c r="AM29" s="104">
        <f t="shared" si="49"/>
        <v>1722</v>
      </c>
      <c r="AN29" s="136"/>
    </row>
    <row r="30" spans="2:40" ht="84.95" customHeight="1" x14ac:dyDescent="0.5">
      <c r="B30" s="623"/>
      <c r="C30" s="172">
        <v>11</v>
      </c>
      <c r="D30" s="173" t="s">
        <v>20</v>
      </c>
      <c r="E30" s="84" t="s">
        <v>60</v>
      </c>
      <c r="F30" s="89">
        <v>3</v>
      </c>
      <c r="G30" s="74">
        <v>3</v>
      </c>
      <c r="H30" s="74">
        <f t="shared" si="29"/>
        <v>6</v>
      </c>
      <c r="I30" s="50">
        <v>19</v>
      </c>
      <c r="J30" s="49">
        <v>9</v>
      </c>
      <c r="K30" s="51">
        <f t="shared" si="30"/>
        <v>28</v>
      </c>
      <c r="L30" s="66">
        <f t="shared" si="31"/>
        <v>475000</v>
      </c>
      <c r="M30" s="38">
        <f t="shared" si="32"/>
        <v>64800</v>
      </c>
      <c r="N30" s="51">
        <f t="shared" si="28"/>
        <v>539800</v>
      </c>
      <c r="O30" s="50">
        <v>60</v>
      </c>
      <c r="P30" s="49">
        <v>34</v>
      </c>
      <c r="Q30" s="38">
        <f t="shared" si="33"/>
        <v>94</v>
      </c>
      <c r="R30" s="38">
        <f t="shared" si="34"/>
        <v>420000</v>
      </c>
      <c r="S30" s="38">
        <f t="shared" si="35"/>
        <v>81600</v>
      </c>
      <c r="T30" s="51">
        <f t="shared" si="36"/>
        <v>501600</v>
      </c>
      <c r="U30" s="68">
        <v>357</v>
      </c>
      <c r="V30" s="49">
        <v>76</v>
      </c>
      <c r="W30" s="49">
        <f t="shared" si="37"/>
        <v>433</v>
      </c>
      <c r="X30" s="49">
        <f t="shared" si="38"/>
        <v>1428000</v>
      </c>
      <c r="Y30" s="49">
        <f t="shared" si="39"/>
        <v>91200</v>
      </c>
      <c r="Z30" s="52">
        <f t="shared" si="40"/>
        <v>1519200</v>
      </c>
      <c r="AA30" s="68">
        <v>702</v>
      </c>
      <c r="AB30" s="49">
        <v>366</v>
      </c>
      <c r="AC30" s="49">
        <f t="shared" si="41"/>
        <v>1068</v>
      </c>
      <c r="AD30" s="49">
        <f t="shared" si="42"/>
        <v>351000</v>
      </c>
      <c r="AE30" s="49">
        <f t="shared" si="43"/>
        <v>292800</v>
      </c>
      <c r="AF30" s="131">
        <f t="shared" si="44"/>
        <v>643800</v>
      </c>
      <c r="AG30" s="152">
        <f t="shared" si="45"/>
        <v>3204400</v>
      </c>
      <c r="AH30" s="105">
        <f t="shared" si="46"/>
        <v>1119</v>
      </c>
      <c r="AI30" s="14">
        <f t="shared" si="47"/>
        <v>476</v>
      </c>
      <c r="AJ30" s="70">
        <f t="shared" si="48"/>
        <v>1595</v>
      </c>
      <c r="AK30" s="155">
        <v>126</v>
      </c>
      <c r="AL30" s="140">
        <v>93</v>
      </c>
      <c r="AM30" s="106">
        <f t="shared" si="49"/>
        <v>219</v>
      </c>
      <c r="AN30" s="136"/>
    </row>
    <row r="31" spans="2:40" ht="84.95" customHeight="1" x14ac:dyDescent="0.5">
      <c r="B31" s="623"/>
      <c r="C31" s="170">
        <v>12</v>
      </c>
      <c r="D31" s="171" t="s">
        <v>14</v>
      </c>
      <c r="E31" s="85" t="s">
        <v>85</v>
      </c>
      <c r="F31" s="88">
        <v>4</v>
      </c>
      <c r="G31" s="75">
        <v>4</v>
      </c>
      <c r="H31" s="75">
        <f t="shared" si="29"/>
        <v>8</v>
      </c>
      <c r="I31" s="35">
        <v>19</v>
      </c>
      <c r="J31" s="33">
        <v>1</v>
      </c>
      <c r="K31" s="55">
        <f t="shared" si="30"/>
        <v>20</v>
      </c>
      <c r="L31" s="65">
        <f t="shared" si="31"/>
        <v>475000</v>
      </c>
      <c r="M31" s="33">
        <f t="shared" si="32"/>
        <v>7200</v>
      </c>
      <c r="N31" s="55">
        <f t="shared" si="28"/>
        <v>482200</v>
      </c>
      <c r="O31" s="35">
        <v>26</v>
      </c>
      <c r="P31" s="33">
        <v>11</v>
      </c>
      <c r="Q31" s="33">
        <f t="shared" si="33"/>
        <v>37</v>
      </c>
      <c r="R31" s="33">
        <f t="shared" si="34"/>
        <v>182000</v>
      </c>
      <c r="S31" s="33">
        <f t="shared" si="35"/>
        <v>26400</v>
      </c>
      <c r="T31" s="55">
        <f t="shared" si="36"/>
        <v>208400</v>
      </c>
      <c r="U31" s="65">
        <v>189</v>
      </c>
      <c r="V31" s="33">
        <v>28</v>
      </c>
      <c r="W31" s="33">
        <f t="shared" si="37"/>
        <v>217</v>
      </c>
      <c r="X31" s="33">
        <f t="shared" si="38"/>
        <v>756000</v>
      </c>
      <c r="Y31" s="33">
        <f t="shared" si="39"/>
        <v>33600</v>
      </c>
      <c r="Z31" s="55">
        <f t="shared" si="40"/>
        <v>789600</v>
      </c>
      <c r="AA31" s="65">
        <v>439</v>
      </c>
      <c r="AB31" s="33">
        <v>58</v>
      </c>
      <c r="AC31" s="33">
        <f t="shared" si="41"/>
        <v>497</v>
      </c>
      <c r="AD31" s="33">
        <f t="shared" si="42"/>
        <v>219500</v>
      </c>
      <c r="AE31" s="33">
        <f t="shared" si="43"/>
        <v>46400</v>
      </c>
      <c r="AF31" s="34">
        <f t="shared" si="44"/>
        <v>265900</v>
      </c>
      <c r="AG31" s="151">
        <f t="shared" si="45"/>
        <v>1746100</v>
      </c>
      <c r="AH31" s="94">
        <f t="shared" si="46"/>
        <v>654</v>
      </c>
      <c r="AI31" s="10">
        <f t="shared" si="47"/>
        <v>97</v>
      </c>
      <c r="AJ31" s="69">
        <f t="shared" si="48"/>
        <v>751</v>
      </c>
      <c r="AK31" s="154">
        <v>345</v>
      </c>
      <c r="AL31" s="139">
        <v>34</v>
      </c>
      <c r="AM31" s="104">
        <f t="shared" si="49"/>
        <v>379</v>
      </c>
      <c r="AN31" s="136"/>
    </row>
    <row r="32" spans="2:40" ht="84.95" customHeight="1" x14ac:dyDescent="0.5">
      <c r="B32" s="623"/>
      <c r="C32" s="172">
        <v>13</v>
      </c>
      <c r="D32" s="173" t="s">
        <v>16</v>
      </c>
      <c r="E32" s="84" t="s">
        <v>61</v>
      </c>
      <c r="F32" s="89">
        <v>16</v>
      </c>
      <c r="G32" s="74">
        <v>11</v>
      </c>
      <c r="H32" s="74">
        <f t="shared" si="29"/>
        <v>27</v>
      </c>
      <c r="I32" s="50">
        <v>100</v>
      </c>
      <c r="J32" s="49">
        <v>49</v>
      </c>
      <c r="K32" s="51">
        <f t="shared" si="30"/>
        <v>149</v>
      </c>
      <c r="L32" s="66">
        <f t="shared" si="31"/>
        <v>2500000</v>
      </c>
      <c r="M32" s="38">
        <f t="shared" si="32"/>
        <v>352800</v>
      </c>
      <c r="N32" s="51">
        <f t="shared" si="28"/>
        <v>2852800</v>
      </c>
      <c r="O32" s="50">
        <v>573</v>
      </c>
      <c r="P32" s="49">
        <v>93</v>
      </c>
      <c r="Q32" s="38">
        <f t="shared" si="33"/>
        <v>666</v>
      </c>
      <c r="R32" s="38">
        <f t="shared" si="34"/>
        <v>4011000</v>
      </c>
      <c r="S32" s="38">
        <f t="shared" si="35"/>
        <v>223200</v>
      </c>
      <c r="T32" s="51">
        <f t="shared" si="36"/>
        <v>4234200</v>
      </c>
      <c r="U32" s="68">
        <v>3032</v>
      </c>
      <c r="V32" s="49">
        <v>487</v>
      </c>
      <c r="W32" s="49">
        <f t="shared" si="37"/>
        <v>3519</v>
      </c>
      <c r="X32" s="49">
        <f t="shared" si="38"/>
        <v>12128000</v>
      </c>
      <c r="Y32" s="49">
        <f t="shared" si="39"/>
        <v>584400</v>
      </c>
      <c r="Z32" s="52">
        <f t="shared" si="40"/>
        <v>12712400</v>
      </c>
      <c r="AA32" s="68">
        <v>6085</v>
      </c>
      <c r="AB32" s="49">
        <v>2734</v>
      </c>
      <c r="AC32" s="49">
        <f t="shared" si="41"/>
        <v>8819</v>
      </c>
      <c r="AD32" s="49">
        <f t="shared" si="42"/>
        <v>3042500</v>
      </c>
      <c r="AE32" s="49">
        <f t="shared" si="43"/>
        <v>2187200</v>
      </c>
      <c r="AF32" s="131">
        <f t="shared" si="44"/>
        <v>5229700</v>
      </c>
      <c r="AG32" s="152">
        <f t="shared" si="45"/>
        <v>25029100</v>
      </c>
      <c r="AH32" s="105">
        <f t="shared" si="46"/>
        <v>9690</v>
      </c>
      <c r="AI32" s="14">
        <f t="shared" si="47"/>
        <v>3314</v>
      </c>
      <c r="AJ32" s="70">
        <f t="shared" si="48"/>
        <v>13004</v>
      </c>
      <c r="AK32" s="155">
        <v>2471</v>
      </c>
      <c r="AL32" s="140">
        <v>482</v>
      </c>
      <c r="AM32" s="106">
        <f t="shared" si="49"/>
        <v>2953</v>
      </c>
      <c r="AN32" s="136"/>
    </row>
    <row r="33" spans="2:40" ht="84.95" customHeight="1" x14ac:dyDescent="0.5">
      <c r="B33" s="623"/>
      <c r="C33" s="170">
        <v>14</v>
      </c>
      <c r="D33" s="171" t="s">
        <v>13</v>
      </c>
      <c r="E33" s="82" t="s">
        <v>79</v>
      </c>
      <c r="F33" s="88">
        <v>20</v>
      </c>
      <c r="G33" s="75">
        <v>13</v>
      </c>
      <c r="H33" s="75">
        <f t="shared" si="29"/>
        <v>33</v>
      </c>
      <c r="I33" s="35">
        <v>118</v>
      </c>
      <c r="J33" s="33">
        <v>17</v>
      </c>
      <c r="K33" s="55">
        <f t="shared" si="30"/>
        <v>135</v>
      </c>
      <c r="L33" s="65">
        <f t="shared" si="31"/>
        <v>2950000</v>
      </c>
      <c r="M33" s="33">
        <f t="shared" si="32"/>
        <v>122400</v>
      </c>
      <c r="N33" s="55">
        <f t="shared" si="28"/>
        <v>3072400</v>
      </c>
      <c r="O33" s="35">
        <v>487</v>
      </c>
      <c r="P33" s="33">
        <v>74</v>
      </c>
      <c r="Q33" s="33">
        <f t="shared" si="33"/>
        <v>561</v>
      </c>
      <c r="R33" s="33">
        <f t="shared" si="34"/>
        <v>3409000</v>
      </c>
      <c r="S33" s="33">
        <f t="shared" si="35"/>
        <v>177600</v>
      </c>
      <c r="T33" s="55">
        <f t="shared" si="36"/>
        <v>3586600</v>
      </c>
      <c r="U33" s="65">
        <v>2963</v>
      </c>
      <c r="V33" s="33">
        <v>415</v>
      </c>
      <c r="W33" s="33">
        <f t="shared" si="37"/>
        <v>3378</v>
      </c>
      <c r="X33" s="33">
        <f t="shared" si="38"/>
        <v>11852000</v>
      </c>
      <c r="Y33" s="33">
        <f t="shared" si="39"/>
        <v>498000</v>
      </c>
      <c r="Z33" s="55">
        <f t="shared" si="40"/>
        <v>12350000</v>
      </c>
      <c r="AA33" s="65">
        <v>2550</v>
      </c>
      <c r="AB33" s="33">
        <v>546</v>
      </c>
      <c r="AC33" s="33">
        <f t="shared" si="41"/>
        <v>3096</v>
      </c>
      <c r="AD33" s="33">
        <f t="shared" si="42"/>
        <v>1275000</v>
      </c>
      <c r="AE33" s="33">
        <f t="shared" si="43"/>
        <v>436800</v>
      </c>
      <c r="AF33" s="34">
        <f t="shared" si="44"/>
        <v>1711800</v>
      </c>
      <c r="AG33" s="151">
        <f t="shared" si="45"/>
        <v>20720800</v>
      </c>
      <c r="AH33" s="94">
        <f t="shared" si="46"/>
        <v>6000</v>
      </c>
      <c r="AI33" s="10">
        <f t="shared" si="47"/>
        <v>1035</v>
      </c>
      <c r="AJ33" s="69">
        <f t="shared" si="48"/>
        <v>7035</v>
      </c>
      <c r="AK33" s="154">
        <v>1937</v>
      </c>
      <c r="AL33" s="139">
        <v>203</v>
      </c>
      <c r="AM33" s="104">
        <f t="shared" si="49"/>
        <v>2140</v>
      </c>
      <c r="AN33" s="136"/>
    </row>
    <row r="34" spans="2:40" ht="84.95" customHeight="1" x14ac:dyDescent="0.5">
      <c r="B34" s="623"/>
      <c r="C34" s="172">
        <v>15</v>
      </c>
      <c r="D34" s="173" t="s">
        <v>2</v>
      </c>
      <c r="E34" s="84" t="s">
        <v>75</v>
      </c>
      <c r="F34" s="89">
        <v>3</v>
      </c>
      <c r="G34" s="74">
        <v>6</v>
      </c>
      <c r="H34" s="74">
        <f t="shared" si="29"/>
        <v>9</v>
      </c>
      <c r="I34" s="50">
        <v>56</v>
      </c>
      <c r="J34" s="49">
        <v>1</v>
      </c>
      <c r="K34" s="51">
        <f t="shared" si="30"/>
        <v>57</v>
      </c>
      <c r="L34" s="66">
        <f t="shared" si="31"/>
        <v>1400000</v>
      </c>
      <c r="M34" s="38">
        <f t="shared" si="32"/>
        <v>7200</v>
      </c>
      <c r="N34" s="51">
        <f t="shared" si="28"/>
        <v>1407200</v>
      </c>
      <c r="O34" s="50">
        <v>203</v>
      </c>
      <c r="P34" s="49">
        <v>9</v>
      </c>
      <c r="Q34" s="38">
        <f t="shared" si="33"/>
        <v>212</v>
      </c>
      <c r="R34" s="38">
        <f t="shared" si="34"/>
        <v>1421000</v>
      </c>
      <c r="S34" s="38">
        <f t="shared" si="35"/>
        <v>21600</v>
      </c>
      <c r="T34" s="51">
        <f t="shared" si="36"/>
        <v>1442600</v>
      </c>
      <c r="U34" s="68">
        <v>1087</v>
      </c>
      <c r="V34" s="49">
        <v>82</v>
      </c>
      <c r="W34" s="49">
        <f t="shared" si="37"/>
        <v>1169</v>
      </c>
      <c r="X34" s="49">
        <f t="shared" si="38"/>
        <v>4348000</v>
      </c>
      <c r="Y34" s="49">
        <f t="shared" si="39"/>
        <v>98400</v>
      </c>
      <c r="Z34" s="52">
        <f t="shared" si="40"/>
        <v>4446400</v>
      </c>
      <c r="AA34" s="68">
        <v>1577</v>
      </c>
      <c r="AB34" s="49">
        <v>183</v>
      </c>
      <c r="AC34" s="49">
        <f t="shared" si="41"/>
        <v>1760</v>
      </c>
      <c r="AD34" s="49">
        <f t="shared" si="42"/>
        <v>788500</v>
      </c>
      <c r="AE34" s="49">
        <f t="shared" si="43"/>
        <v>146400</v>
      </c>
      <c r="AF34" s="131">
        <f t="shared" si="44"/>
        <v>934900</v>
      </c>
      <c r="AG34" s="152">
        <f t="shared" si="45"/>
        <v>8231100</v>
      </c>
      <c r="AH34" s="105">
        <f t="shared" si="46"/>
        <v>2867</v>
      </c>
      <c r="AI34" s="14">
        <f t="shared" si="47"/>
        <v>274</v>
      </c>
      <c r="AJ34" s="70">
        <f t="shared" si="48"/>
        <v>3141</v>
      </c>
      <c r="AK34" s="155">
        <v>903</v>
      </c>
      <c r="AL34" s="140">
        <v>82</v>
      </c>
      <c r="AM34" s="106">
        <f t="shared" si="49"/>
        <v>985</v>
      </c>
      <c r="AN34" s="136"/>
    </row>
    <row r="35" spans="2:40" ht="84.95" customHeight="1" x14ac:dyDescent="0.5">
      <c r="B35" s="623"/>
      <c r="C35" s="170">
        <v>16</v>
      </c>
      <c r="D35" s="171" t="s">
        <v>17</v>
      </c>
      <c r="E35" s="85" t="s">
        <v>83</v>
      </c>
      <c r="F35" s="88">
        <v>8</v>
      </c>
      <c r="G35" s="75">
        <v>9</v>
      </c>
      <c r="H35" s="75">
        <f t="shared" si="29"/>
        <v>17</v>
      </c>
      <c r="I35" s="35">
        <v>31</v>
      </c>
      <c r="J35" s="33">
        <v>5</v>
      </c>
      <c r="K35" s="55">
        <f t="shared" si="30"/>
        <v>36</v>
      </c>
      <c r="L35" s="65">
        <f t="shared" si="31"/>
        <v>775000</v>
      </c>
      <c r="M35" s="33">
        <f t="shared" si="32"/>
        <v>36000</v>
      </c>
      <c r="N35" s="55">
        <f t="shared" si="28"/>
        <v>811000</v>
      </c>
      <c r="O35" s="35">
        <v>83</v>
      </c>
      <c r="P35" s="33">
        <v>35</v>
      </c>
      <c r="Q35" s="33">
        <f t="shared" si="33"/>
        <v>118</v>
      </c>
      <c r="R35" s="33">
        <f t="shared" si="34"/>
        <v>581000</v>
      </c>
      <c r="S35" s="33">
        <f t="shared" si="35"/>
        <v>84000</v>
      </c>
      <c r="T35" s="55">
        <f t="shared" si="36"/>
        <v>665000</v>
      </c>
      <c r="U35" s="65">
        <v>869</v>
      </c>
      <c r="V35" s="33">
        <v>232</v>
      </c>
      <c r="W35" s="33">
        <f t="shared" si="37"/>
        <v>1101</v>
      </c>
      <c r="X35" s="33">
        <f t="shared" si="38"/>
        <v>3476000</v>
      </c>
      <c r="Y35" s="33">
        <f t="shared" si="39"/>
        <v>278400</v>
      </c>
      <c r="Z35" s="55">
        <f t="shared" si="40"/>
        <v>3754400</v>
      </c>
      <c r="AA35" s="65">
        <v>440</v>
      </c>
      <c r="AB35" s="33">
        <v>355</v>
      </c>
      <c r="AC35" s="33">
        <f t="shared" si="41"/>
        <v>795</v>
      </c>
      <c r="AD35" s="33">
        <f t="shared" si="42"/>
        <v>220000</v>
      </c>
      <c r="AE35" s="33">
        <f t="shared" si="43"/>
        <v>284000</v>
      </c>
      <c r="AF35" s="34">
        <f t="shared" si="44"/>
        <v>504000</v>
      </c>
      <c r="AG35" s="151">
        <f t="shared" si="45"/>
        <v>5734400</v>
      </c>
      <c r="AH35" s="94">
        <f t="shared" si="46"/>
        <v>1392</v>
      </c>
      <c r="AI35" s="10">
        <f t="shared" si="47"/>
        <v>622</v>
      </c>
      <c r="AJ35" s="69">
        <f t="shared" si="48"/>
        <v>2014</v>
      </c>
      <c r="AK35" s="154">
        <v>350</v>
      </c>
      <c r="AL35" s="139">
        <v>108</v>
      </c>
      <c r="AM35" s="104">
        <f t="shared" si="49"/>
        <v>458</v>
      </c>
      <c r="AN35" s="136"/>
    </row>
    <row r="36" spans="2:40" ht="84.95" customHeight="1" x14ac:dyDescent="0.5">
      <c r="B36" s="623"/>
      <c r="C36" s="172">
        <v>17</v>
      </c>
      <c r="D36" s="173" t="s">
        <v>18</v>
      </c>
      <c r="E36" s="83" t="s">
        <v>81</v>
      </c>
      <c r="F36" s="89">
        <v>18</v>
      </c>
      <c r="G36" s="74">
        <v>31</v>
      </c>
      <c r="H36" s="74">
        <f t="shared" si="29"/>
        <v>49</v>
      </c>
      <c r="I36" s="50">
        <v>134</v>
      </c>
      <c r="J36" s="49">
        <v>7</v>
      </c>
      <c r="K36" s="51">
        <f t="shared" si="30"/>
        <v>141</v>
      </c>
      <c r="L36" s="66">
        <f t="shared" si="31"/>
        <v>3350000</v>
      </c>
      <c r="M36" s="38">
        <f t="shared" si="32"/>
        <v>50400</v>
      </c>
      <c r="N36" s="51">
        <f t="shared" si="28"/>
        <v>3400400</v>
      </c>
      <c r="O36" s="50">
        <v>505</v>
      </c>
      <c r="P36" s="49">
        <v>52</v>
      </c>
      <c r="Q36" s="38">
        <f t="shared" si="33"/>
        <v>557</v>
      </c>
      <c r="R36" s="38">
        <f t="shared" si="34"/>
        <v>3535000</v>
      </c>
      <c r="S36" s="38">
        <f t="shared" si="35"/>
        <v>124800</v>
      </c>
      <c r="T36" s="51">
        <f t="shared" si="36"/>
        <v>3659800</v>
      </c>
      <c r="U36" s="68">
        <v>3679</v>
      </c>
      <c r="V36" s="49">
        <v>499</v>
      </c>
      <c r="W36" s="49">
        <f t="shared" si="37"/>
        <v>4178</v>
      </c>
      <c r="X36" s="49">
        <f t="shared" si="38"/>
        <v>14716000</v>
      </c>
      <c r="Y36" s="49">
        <f t="shared" si="39"/>
        <v>598800</v>
      </c>
      <c r="Z36" s="52">
        <f t="shared" si="40"/>
        <v>15314800</v>
      </c>
      <c r="AA36" s="68">
        <v>4501</v>
      </c>
      <c r="AB36" s="49">
        <v>1042</v>
      </c>
      <c r="AC36" s="49">
        <f t="shared" si="41"/>
        <v>5543</v>
      </c>
      <c r="AD36" s="49">
        <f t="shared" si="42"/>
        <v>2250500</v>
      </c>
      <c r="AE36" s="49">
        <f t="shared" si="43"/>
        <v>833600</v>
      </c>
      <c r="AF36" s="131">
        <f t="shared" si="44"/>
        <v>3084100</v>
      </c>
      <c r="AG36" s="152">
        <f t="shared" si="45"/>
        <v>25459100</v>
      </c>
      <c r="AH36" s="105">
        <f t="shared" si="46"/>
        <v>8685</v>
      </c>
      <c r="AI36" s="14">
        <f t="shared" si="47"/>
        <v>1593</v>
      </c>
      <c r="AJ36" s="70">
        <f t="shared" si="48"/>
        <v>10278</v>
      </c>
      <c r="AK36" s="155">
        <v>2440</v>
      </c>
      <c r="AL36" s="140">
        <v>317</v>
      </c>
      <c r="AM36" s="106">
        <f t="shared" si="49"/>
        <v>2757</v>
      </c>
      <c r="AN36" s="136"/>
    </row>
    <row r="37" spans="2:40" ht="84.95" customHeight="1" x14ac:dyDescent="0.5">
      <c r="B37" s="623"/>
      <c r="C37" s="170">
        <v>18</v>
      </c>
      <c r="D37" s="171" t="s">
        <v>27</v>
      </c>
      <c r="E37" s="85" t="s">
        <v>80</v>
      </c>
      <c r="F37" s="88">
        <v>2</v>
      </c>
      <c r="G37" s="75">
        <v>0</v>
      </c>
      <c r="H37" s="75">
        <f t="shared" si="29"/>
        <v>2</v>
      </c>
      <c r="I37" s="35">
        <v>0</v>
      </c>
      <c r="J37" s="33">
        <v>0</v>
      </c>
      <c r="K37" s="55">
        <f t="shared" si="30"/>
        <v>0</v>
      </c>
      <c r="L37" s="65">
        <f t="shared" si="31"/>
        <v>0</v>
      </c>
      <c r="M37" s="33">
        <f t="shared" si="32"/>
        <v>0</v>
      </c>
      <c r="N37" s="55">
        <f t="shared" si="28"/>
        <v>0</v>
      </c>
      <c r="O37" s="35">
        <v>3</v>
      </c>
      <c r="P37" s="33">
        <v>0</v>
      </c>
      <c r="Q37" s="33">
        <f t="shared" si="33"/>
        <v>3</v>
      </c>
      <c r="R37" s="33">
        <f t="shared" si="34"/>
        <v>21000</v>
      </c>
      <c r="S37" s="33">
        <f t="shared" si="35"/>
        <v>0</v>
      </c>
      <c r="T37" s="55">
        <f t="shared" si="36"/>
        <v>21000</v>
      </c>
      <c r="U37" s="65">
        <v>120</v>
      </c>
      <c r="V37" s="33">
        <v>6</v>
      </c>
      <c r="W37" s="33">
        <f t="shared" si="37"/>
        <v>126</v>
      </c>
      <c r="X37" s="33">
        <f t="shared" si="38"/>
        <v>480000</v>
      </c>
      <c r="Y37" s="33">
        <f t="shared" si="39"/>
        <v>7200</v>
      </c>
      <c r="Z37" s="55">
        <f t="shared" si="40"/>
        <v>487200</v>
      </c>
      <c r="AA37" s="65">
        <v>69</v>
      </c>
      <c r="AB37" s="33">
        <v>2</v>
      </c>
      <c r="AC37" s="33">
        <f t="shared" si="41"/>
        <v>71</v>
      </c>
      <c r="AD37" s="33">
        <f t="shared" si="42"/>
        <v>34500</v>
      </c>
      <c r="AE37" s="33">
        <f t="shared" si="43"/>
        <v>1600</v>
      </c>
      <c r="AF37" s="34">
        <f t="shared" si="44"/>
        <v>36100</v>
      </c>
      <c r="AG37" s="151">
        <f t="shared" si="45"/>
        <v>544300</v>
      </c>
      <c r="AH37" s="94">
        <f t="shared" si="46"/>
        <v>192</v>
      </c>
      <c r="AI37" s="10">
        <f t="shared" si="47"/>
        <v>8</v>
      </c>
      <c r="AJ37" s="69">
        <f t="shared" si="48"/>
        <v>200</v>
      </c>
      <c r="AK37" s="154">
        <v>24</v>
      </c>
      <c r="AL37" s="139">
        <v>0</v>
      </c>
      <c r="AM37" s="104">
        <f t="shared" si="49"/>
        <v>24</v>
      </c>
      <c r="AN37" s="136"/>
    </row>
    <row r="38" spans="2:40" ht="84.95" customHeight="1" x14ac:dyDescent="0.5">
      <c r="B38" s="623"/>
      <c r="C38" s="172">
        <v>19</v>
      </c>
      <c r="D38" s="173" t="s">
        <v>28</v>
      </c>
      <c r="E38" s="84" t="s">
        <v>74</v>
      </c>
      <c r="F38" s="89">
        <v>2</v>
      </c>
      <c r="G38" s="74">
        <v>2</v>
      </c>
      <c r="H38" s="74">
        <f t="shared" si="29"/>
        <v>4</v>
      </c>
      <c r="I38" s="50">
        <v>0</v>
      </c>
      <c r="J38" s="49">
        <v>0</v>
      </c>
      <c r="K38" s="51">
        <f t="shared" si="30"/>
        <v>0</v>
      </c>
      <c r="L38" s="66">
        <f t="shared" si="31"/>
        <v>0</v>
      </c>
      <c r="M38" s="38">
        <f t="shared" si="32"/>
        <v>0</v>
      </c>
      <c r="N38" s="51">
        <f t="shared" si="28"/>
        <v>0</v>
      </c>
      <c r="O38" s="50">
        <v>4</v>
      </c>
      <c r="P38" s="49">
        <v>0</v>
      </c>
      <c r="Q38" s="38">
        <f t="shared" si="33"/>
        <v>4</v>
      </c>
      <c r="R38" s="38">
        <f t="shared" si="34"/>
        <v>28000</v>
      </c>
      <c r="S38" s="38">
        <f t="shared" si="35"/>
        <v>0</v>
      </c>
      <c r="T38" s="51">
        <f t="shared" si="36"/>
        <v>28000</v>
      </c>
      <c r="U38" s="68">
        <v>19</v>
      </c>
      <c r="V38" s="49">
        <v>0</v>
      </c>
      <c r="W38" s="49">
        <f t="shared" si="37"/>
        <v>19</v>
      </c>
      <c r="X38" s="49">
        <f t="shared" si="38"/>
        <v>76000</v>
      </c>
      <c r="Y38" s="49">
        <f t="shared" si="39"/>
        <v>0</v>
      </c>
      <c r="Z38" s="52">
        <f t="shared" si="40"/>
        <v>76000</v>
      </c>
      <c r="AA38" s="68">
        <v>5</v>
      </c>
      <c r="AB38" s="49">
        <v>2</v>
      </c>
      <c r="AC38" s="49">
        <f t="shared" si="41"/>
        <v>7</v>
      </c>
      <c r="AD38" s="49">
        <f t="shared" si="42"/>
        <v>2500</v>
      </c>
      <c r="AE38" s="49">
        <f t="shared" si="43"/>
        <v>1600</v>
      </c>
      <c r="AF38" s="131">
        <f t="shared" si="44"/>
        <v>4100</v>
      </c>
      <c r="AG38" s="152">
        <f t="shared" si="45"/>
        <v>108100</v>
      </c>
      <c r="AH38" s="105">
        <f t="shared" si="46"/>
        <v>28</v>
      </c>
      <c r="AI38" s="14">
        <f t="shared" si="47"/>
        <v>2</v>
      </c>
      <c r="AJ38" s="70">
        <f t="shared" si="48"/>
        <v>30</v>
      </c>
      <c r="AK38" s="155">
        <v>19</v>
      </c>
      <c r="AL38" s="140">
        <v>0</v>
      </c>
      <c r="AM38" s="106">
        <f t="shared" si="49"/>
        <v>19</v>
      </c>
      <c r="AN38" s="136"/>
    </row>
    <row r="39" spans="2:40" ht="84.95" customHeight="1" x14ac:dyDescent="0.5">
      <c r="B39" s="623"/>
      <c r="C39" s="170">
        <v>20</v>
      </c>
      <c r="D39" s="171" t="s">
        <v>30</v>
      </c>
      <c r="E39" s="85" t="s">
        <v>34</v>
      </c>
      <c r="F39" s="88">
        <v>3</v>
      </c>
      <c r="G39" s="75">
        <v>0</v>
      </c>
      <c r="H39" s="75">
        <f t="shared" si="29"/>
        <v>3</v>
      </c>
      <c r="I39" s="35">
        <v>0</v>
      </c>
      <c r="J39" s="33">
        <v>3</v>
      </c>
      <c r="K39" s="55">
        <f t="shared" si="30"/>
        <v>3</v>
      </c>
      <c r="L39" s="65">
        <f t="shared" si="31"/>
        <v>0</v>
      </c>
      <c r="M39" s="33">
        <f t="shared" si="32"/>
        <v>21600</v>
      </c>
      <c r="N39" s="55">
        <f t="shared" si="28"/>
        <v>21600</v>
      </c>
      <c r="O39" s="35">
        <v>0</v>
      </c>
      <c r="P39" s="33">
        <v>0</v>
      </c>
      <c r="Q39" s="33">
        <f t="shared" si="33"/>
        <v>0</v>
      </c>
      <c r="R39" s="33">
        <f t="shared" si="34"/>
        <v>0</v>
      </c>
      <c r="S39" s="33">
        <f t="shared" si="35"/>
        <v>0</v>
      </c>
      <c r="T39" s="55">
        <f t="shared" si="36"/>
        <v>0</v>
      </c>
      <c r="U39" s="65">
        <v>47</v>
      </c>
      <c r="V39" s="33">
        <v>16</v>
      </c>
      <c r="W39" s="33">
        <f t="shared" si="37"/>
        <v>63</v>
      </c>
      <c r="X39" s="33">
        <f t="shared" si="38"/>
        <v>188000</v>
      </c>
      <c r="Y39" s="33">
        <f t="shared" si="39"/>
        <v>19200</v>
      </c>
      <c r="Z39" s="55">
        <f t="shared" si="40"/>
        <v>207200</v>
      </c>
      <c r="AA39" s="65">
        <v>485</v>
      </c>
      <c r="AB39" s="33">
        <v>77</v>
      </c>
      <c r="AC39" s="33">
        <f t="shared" si="41"/>
        <v>562</v>
      </c>
      <c r="AD39" s="33">
        <f t="shared" si="42"/>
        <v>242500</v>
      </c>
      <c r="AE39" s="33">
        <f t="shared" si="43"/>
        <v>61600</v>
      </c>
      <c r="AF39" s="34">
        <f t="shared" si="44"/>
        <v>304100</v>
      </c>
      <c r="AG39" s="151">
        <f t="shared" si="45"/>
        <v>532900</v>
      </c>
      <c r="AH39" s="94">
        <f t="shared" si="46"/>
        <v>532</v>
      </c>
      <c r="AI39" s="10">
        <f t="shared" si="47"/>
        <v>93</v>
      </c>
      <c r="AJ39" s="69">
        <f t="shared" si="48"/>
        <v>625</v>
      </c>
      <c r="AK39" s="154">
        <v>14</v>
      </c>
      <c r="AL39" s="139">
        <v>0</v>
      </c>
      <c r="AM39" s="104">
        <f t="shared" si="49"/>
        <v>14</v>
      </c>
      <c r="AN39" s="136"/>
    </row>
    <row r="40" spans="2:40" ht="84.95" customHeight="1" x14ac:dyDescent="0.5">
      <c r="B40" s="623"/>
      <c r="C40" s="172">
        <v>21</v>
      </c>
      <c r="D40" s="173" t="s">
        <v>31</v>
      </c>
      <c r="E40" s="84" t="s">
        <v>33</v>
      </c>
      <c r="F40" s="89">
        <v>0</v>
      </c>
      <c r="G40" s="74">
        <v>1</v>
      </c>
      <c r="H40" s="74">
        <f t="shared" si="29"/>
        <v>1</v>
      </c>
      <c r="I40" s="50">
        <v>4</v>
      </c>
      <c r="J40" s="49">
        <v>0</v>
      </c>
      <c r="K40" s="51">
        <f t="shared" si="30"/>
        <v>4</v>
      </c>
      <c r="L40" s="66">
        <f t="shared" si="31"/>
        <v>100000</v>
      </c>
      <c r="M40" s="38">
        <f t="shared" si="32"/>
        <v>0</v>
      </c>
      <c r="N40" s="51">
        <f t="shared" si="28"/>
        <v>100000</v>
      </c>
      <c r="O40" s="50">
        <v>2</v>
      </c>
      <c r="P40" s="49">
        <v>0</v>
      </c>
      <c r="Q40" s="38">
        <f t="shared" si="33"/>
        <v>2</v>
      </c>
      <c r="R40" s="38">
        <f t="shared" si="34"/>
        <v>14000</v>
      </c>
      <c r="S40" s="38">
        <f t="shared" si="35"/>
        <v>0</v>
      </c>
      <c r="T40" s="51">
        <f t="shared" si="36"/>
        <v>14000</v>
      </c>
      <c r="U40" s="68">
        <v>5</v>
      </c>
      <c r="V40" s="49">
        <v>0</v>
      </c>
      <c r="W40" s="49">
        <f t="shared" si="37"/>
        <v>5</v>
      </c>
      <c r="X40" s="49">
        <f t="shared" si="38"/>
        <v>20000</v>
      </c>
      <c r="Y40" s="49">
        <f t="shared" si="39"/>
        <v>0</v>
      </c>
      <c r="Z40" s="52">
        <f t="shared" si="40"/>
        <v>20000</v>
      </c>
      <c r="AA40" s="68">
        <v>71</v>
      </c>
      <c r="AB40" s="49">
        <v>6</v>
      </c>
      <c r="AC40" s="49">
        <f t="shared" si="41"/>
        <v>77</v>
      </c>
      <c r="AD40" s="49">
        <f t="shared" si="42"/>
        <v>35500</v>
      </c>
      <c r="AE40" s="49">
        <f t="shared" si="43"/>
        <v>4800</v>
      </c>
      <c r="AF40" s="131">
        <f t="shared" si="44"/>
        <v>40300</v>
      </c>
      <c r="AG40" s="152">
        <f t="shared" si="45"/>
        <v>174300</v>
      </c>
      <c r="AH40" s="105">
        <f t="shared" si="46"/>
        <v>78</v>
      </c>
      <c r="AI40" s="14">
        <f t="shared" si="47"/>
        <v>6</v>
      </c>
      <c r="AJ40" s="70">
        <f t="shared" si="48"/>
        <v>84</v>
      </c>
      <c r="AK40" s="155">
        <v>22</v>
      </c>
      <c r="AL40" s="140">
        <v>3</v>
      </c>
      <c r="AM40" s="106">
        <f t="shared" si="49"/>
        <v>25</v>
      </c>
      <c r="AN40" s="136"/>
    </row>
    <row r="41" spans="2:40" ht="84.95" customHeight="1" x14ac:dyDescent="0.5">
      <c r="B41" s="623"/>
      <c r="C41" s="170">
        <v>22</v>
      </c>
      <c r="D41" s="171" t="s">
        <v>32</v>
      </c>
      <c r="E41" s="85" t="s">
        <v>78</v>
      </c>
      <c r="F41" s="88">
        <v>1</v>
      </c>
      <c r="G41" s="75">
        <v>2</v>
      </c>
      <c r="H41" s="75">
        <f t="shared" si="29"/>
        <v>3</v>
      </c>
      <c r="I41" s="35">
        <v>9</v>
      </c>
      <c r="J41" s="33">
        <v>0</v>
      </c>
      <c r="K41" s="55">
        <f t="shared" si="30"/>
        <v>9</v>
      </c>
      <c r="L41" s="65">
        <f t="shared" si="31"/>
        <v>225000</v>
      </c>
      <c r="M41" s="33">
        <f t="shared" si="32"/>
        <v>0</v>
      </c>
      <c r="N41" s="55">
        <f t="shared" si="28"/>
        <v>225000</v>
      </c>
      <c r="O41" s="35">
        <v>6</v>
      </c>
      <c r="P41" s="33">
        <v>0</v>
      </c>
      <c r="Q41" s="33">
        <f t="shared" si="33"/>
        <v>6</v>
      </c>
      <c r="R41" s="33">
        <f t="shared" si="34"/>
        <v>42000</v>
      </c>
      <c r="S41" s="33">
        <f t="shared" si="35"/>
        <v>0</v>
      </c>
      <c r="T41" s="55">
        <f t="shared" si="36"/>
        <v>42000</v>
      </c>
      <c r="U41" s="65">
        <v>17</v>
      </c>
      <c r="V41" s="33">
        <v>0</v>
      </c>
      <c r="W41" s="33">
        <f t="shared" si="37"/>
        <v>17</v>
      </c>
      <c r="X41" s="33">
        <f t="shared" si="38"/>
        <v>68000</v>
      </c>
      <c r="Y41" s="33">
        <f t="shared" si="39"/>
        <v>0</v>
      </c>
      <c r="Z41" s="55">
        <f t="shared" si="40"/>
        <v>68000</v>
      </c>
      <c r="AA41" s="65">
        <v>91</v>
      </c>
      <c r="AB41" s="33">
        <v>24</v>
      </c>
      <c r="AC41" s="33">
        <f t="shared" si="41"/>
        <v>115</v>
      </c>
      <c r="AD41" s="33">
        <f t="shared" si="42"/>
        <v>45500</v>
      </c>
      <c r="AE41" s="33">
        <f t="shared" si="43"/>
        <v>19200</v>
      </c>
      <c r="AF41" s="34">
        <f t="shared" si="44"/>
        <v>64700</v>
      </c>
      <c r="AG41" s="151">
        <f t="shared" si="45"/>
        <v>399700</v>
      </c>
      <c r="AH41" s="94">
        <f t="shared" si="46"/>
        <v>114</v>
      </c>
      <c r="AI41" s="10">
        <f t="shared" si="47"/>
        <v>24</v>
      </c>
      <c r="AJ41" s="69">
        <f t="shared" si="48"/>
        <v>138</v>
      </c>
      <c r="AK41" s="154">
        <v>18</v>
      </c>
      <c r="AL41" s="139">
        <v>0</v>
      </c>
      <c r="AM41" s="104">
        <f t="shared" si="49"/>
        <v>18</v>
      </c>
      <c r="AN41" s="136"/>
    </row>
    <row r="42" spans="2:40" ht="84.95" customHeight="1" x14ac:dyDescent="0.5">
      <c r="B42" s="623"/>
      <c r="C42" s="172">
        <v>23</v>
      </c>
      <c r="D42" s="173" t="s">
        <v>46</v>
      </c>
      <c r="E42" s="84" t="s">
        <v>89</v>
      </c>
      <c r="F42" s="89">
        <v>8</v>
      </c>
      <c r="G42" s="74">
        <v>9</v>
      </c>
      <c r="H42" s="74">
        <f t="shared" si="29"/>
        <v>17</v>
      </c>
      <c r="I42" s="50">
        <v>38</v>
      </c>
      <c r="J42" s="49">
        <v>4</v>
      </c>
      <c r="K42" s="51">
        <f t="shared" si="30"/>
        <v>42</v>
      </c>
      <c r="L42" s="73">
        <f t="shared" si="31"/>
        <v>950000</v>
      </c>
      <c r="M42" s="40">
        <f t="shared" si="32"/>
        <v>28800</v>
      </c>
      <c r="N42" s="51">
        <f t="shared" si="28"/>
        <v>978800</v>
      </c>
      <c r="O42" s="50">
        <v>35</v>
      </c>
      <c r="P42" s="49">
        <v>6</v>
      </c>
      <c r="Q42" s="38">
        <f t="shared" si="33"/>
        <v>41</v>
      </c>
      <c r="R42" s="40">
        <f t="shared" si="34"/>
        <v>245000</v>
      </c>
      <c r="S42" s="40">
        <f t="shared" si="35"/>
        <v>14400</v>
      </c>
      <c r="T42" s="51">
        <f t="shared" si="36"/>
        <v>259400</v>
      </c>
      <c r="U42" s="68">
        <v>138</v>
      </c>
      <c r="V42" s="49">
        <v>5</v>
      </c>
      <c r="W42" s="49">
        <f t="shared" si="37"/>
        <v>143</v>
      </c>
      <c r="X42" s="42">
        <f t="shared" si="38"/>
        <v>552000</v>
      </c>
      <c r="Y42" s="42">
        <f t="shared" si="39"/>
        <v>6000</v>
      </c>
      <c r="Z42" s="52">
        <f t="shared" si="40"/>
        <v>558000</v>
      </c>
      <c r="AA42" s="68">
        <v>608</v>
      </c>
      <c r="AB42" s="49">
        <v>17</v>
      </c>
      <c r="AC42" s="49">
        <f t="shared" si="41"/>
        <v>625</v>
      </c>
      <c r="AD42" s="49">
        <f t="shared" si="42"/>
        <v>304000</v>
      </c>
      <c r="AE42" s="49">
        <f t="shared" si="43"/>
        <v>13600</v>
      </c>
      <c r="AF42" s="131">
        <f t="shared" si="44"/>
        <v>317600</v>
      </c>
      <c r="AG42" s="152">
        <f t="shared" si="45"/>
        <v>2113800</v>
      </c>
      <c r="AH42" s="105">
        <f t="shared" si="46"/>
        <v>781</v>
      </c>
      <c r="AI42" s="14">
        <f t="shared" si="47"/>
        <v>28</v>
      </c>
      <c r="AJ42" s="70">
        <f t="shared" si="48"/>
        <v>809</v>
      </c>
      <c r="AK42" s="155">
        <v>244</v>
      </c>
      <c r="AL42" s="140">
        <v>30</v>
      </c>
      <c r="AM42" s="106">
        <f t="shared" si="49"/>
        <v>274</v>
      </c>
      <c r="AN42" s="136"/>
    </row>
    <row r="43" spans="2:40" ht="84.95" customHeight="1" thickBot="1" x14ac:dyDescent="0.55000000000000004">
      <c r="B43" s="623"/>
      <c r="C43" s="121">
        <v>24</v>
      </c>
      <c r="D43" s="115" t="s">
        <v>55</v>
      </c>
      <c r="E43" s="120" t="s">
        <v>54</v>
      </c>
      <c r="F43" s="121">
        <v>1</v>
      </c>
      <c r="G43" s="115">
        <v>0</v>
      </c>
      <c r="H43" s="115">
        <f t="shared" si="29"/>
        <v>1</v>
      </c>
      <c r="I43" s="132">
        <v>3</v>
      </c>
      <c r="J43" s="133">
        <v>0</v>
      </c>
      <c r="K43" s="134">
        <f t="shared" si="30"/>
        <v>3</v>
      </c>
      <c r="L43" s="145">
        <f t="shared" si="31"/>
        <v>75000</v>
      </c>
      <c r="M43" s="133">
        <f t="shared" si="32"/>
        <v>0</v>
      </c>
      <c r="N43" s="134">
        <f t="shared" si="28"/>
        <v>75000</v>
      </c>
      <c r="O43" s="117">
        <v>25</v>
      </c>
      <c r="P43" s="71">
        <v>0</v>
      </c>
      <c r="Q43" s="71">
        <f t="shared" si="33"/>
        <v>25</v>
      </c>
      <c r="R43" s="33">
        <f t="shared" si="34"/>
        <v>175000</v>
      </c>
      <c r="S43" s="33">
        <f t="shared" si="35"/>
        <v>0</v>
      </c>
      <c r="T43" s="116">
        <f t="shared" si="36"/>
        <v>175000</v>
      </c>
      <c r="U43" s="119">
        <v>49</v>
      </c>
      <c r="V43" s="71">
        <v>2</v>
      </c>
      <c r="W43" s="71">
        <f t="shared" si="37"/>
        <v>51</v>
      </c>
      <c r="X43" s="33">
        <f t="shared" si="38"/>
        <v>196000</v>
      </c>
      <c r="Y43" s="33">
        <f t="shared" si="39"/>
        <v>2400</v>
      </c>
      <c r="Z43" s="116">
        <f t="shared" si="40"/>
        <v>198400</v>
      </c>
      <c r="AA43" s="119">
        <v>229</v>
      </c>
      <c r="AB43" s="71">
        <v>19</v>
      </c>
      <c r="AC43" s="71">
        <f t="shared" si="41"/>
        <v>248</v>
      </c>
      <c r="AD43" s="33">
        <f t="shared" si="42"/>
        <v>114500</v>
      </c>
      <c r="AE43" s="33">
        <f t="shared" si="43"/>
        <v>15200</v>
      </c>
      <c r="AF43" s="72">
        <f t="shared" si="44"/>
        <v>129700</v>
      </c>
      <c r="AG43" s="151">
        <f t="shared" si="45"/>
        <v>578100</v>
      </c>
      <c r="AH43" s="107">
        <f t="shared" si="46"/>
        <v>303</v>
      </c>
      <c r="AI43" s="15">
        <f t="shared" si="47"/>
        <v>21</v>
      </c>
      <c r="AJ43" s="158">
        <f t="shared" si="48"/>
        <v>324</v>
      </c>
      <c r="AK43" s="156">
        <v>101</v>
      </c>
      <c r="AL43" s="141">
        <v>4</v>
      </c>
      <c r="AM43" s="143">
        <f t="shared" si="49"/>
        <v>105</v>
      </c>
      <c r="AN43" s="136"/>
    </row>
    <row r="44" spans="2:40" ht="99.75" customHeight="1" thickBot="1" x14ac:dyDescent="0.55000000000000004">
      <c r="B44" s="510" t="s">
        <v>53</v>
      </c>
      <c r="C44" s="511"/>
      <c r="D44" s="511"/>
      <c r="E44" s="511"/>
      <c r="F44" s="122">
        <f>SUM(F20:F43)</f>
        <v>215</v>
      </c>
      <c r="G44" s="123">
        <f t="shared" ref="G44:AG44" si="50">SUM(G20:G43)</f>
        <v>185</v>
      </c>
      <c r="H44" s="124">
        <f t="shared" si="50"/>
        <v>400</v>
      </c>
      <c r="I44" s="146">
        <f>SUM(I20:I43)</f>
        <v>984</v>
      </c>
      <c r="J44" s="147">
        <f>SUM(J20:J43)</f>
        <v>216</v>
      </c>
      <c r="K44" s="189">
        <f>SUM(K20:K43)</f>
        <v>1200</v>
      </c>
      <c r="L44" s="57">
        <f t="shared" si="50"/>
        <v>24600000</v>
      </c>
      <c r="M44" s="47">
        <f t="shared" si="50"/>
        <v>1555200</v>
      </c>
      <c r="N44" s="48">
        <f t="shared" si="50"/>
        <v>26155200</v>
      </c>
      <c r="O44" s="188">
        <f t="shared" si="50"/>
        <v>4606</v>
      </c>
      <c r="P44" s="181">
        <f t="shared" si="50"/>
        <v>617</v>
      </c>
      <c r="Q44" s="181">
        <f t="shared" si="50"/>
        <v>5223</v>
      </c>
      <c r="R44" s="181">
        <f t="shared" si="50"/>
        <v>32242000</v>
      </c>
      <c r="S44" s="181">
        <f t="shared" si="50"/>
        <v>1480800</v>
      </c>
      <c r="T44" s="63">
        <f t="shared" si="50"/>
        <v>33722800</v>
      </c>
      <c r="U44" s="187">
        <f t="shared" si="50"/>
        <v>29673</v>
      </c>
      <c r="V44" s="186">
        <f t="shared" si="50"/>
        <v>3747</v>
      </c>
      <c r="W44" s="186">
        <f t="shared" si="50"/>
        <v>33420</v>
      </c>
      <c r="X44" s="186">
        <f t="shared" si="50"/>
        <v>118692000</v>
      </c>
      <c r="Y44" s="186">
        <f t="shared" si="50"/>
        <v>4496400</v>
      </c>
      <c r="Z44" s="63">
        <f t="shared" si="50"/>
        <v>123188400</v>
      </c>
      <c r="AA44" s="182">
        <f t="shared" si="50"/>
        <v>49308</v>
      </c>
      <c r="AB44" s="183">
        <f t="shared" si="50"/>
        <v>11307</v>
      </c>
      <c r="AC44" s="183">
        <f t="shared" si="50"/>
        <v>60615</v>
      </c>
      <c r="AD44" s="183">
        <f t="shared" si="50"/>
        <v>24654000</v>
      </c>
      <c r="AE44" s="183">
        <f t="shared" si="50"/>
        <v>9045600</v>
      </c>
      <c r="AF44" s="48">
        <f t="shared" si="50"/>
        <v>33699600</v>
      </c>
      <c r="AG44" s="58">
        <f t="shared" si="50"/>
        <v>216766000</v>
      </c>
      <c r="AH44" s="178">
        <f>SUM(AH20:AH43)</f>
        <v>83587</v>
      </c>
      <c r="AI44" s="177">
        <f>SUM(AI20:AI43)</f>
        <v>15671</v>
      </c>
      <c r="AJ44" s="144">
        <f>SUM(AJ20:AJ43)</f>
        <v>99258</v>
      </c>
      <c r="AK44" s="148">
        <f>SUM(AK20:AK43)</f>
        <v>24285</v>
      </c>
      <c r="AL44" s="149">
        <f t="shared" ref="AL44:AM44" si="51">SUM(AL20:AL43)</f>
        <v>3280</v>
      </c>
      <c r="AM44" s="190">
        <f t="shared" si="51"/>
        <v>27565</v>
      </c>
      <c r="AN44" s="108"/>
    </row>
    <row r="45" spans="2:40" ht="15" customHeight="1" thickBot="1" x14ac:dyDescent="1.1499999999999999">
      <c r="B45" s="5"/>
      <c r="C45" s="3"/>
      <c r="D45" s="3"/>
      <c r="E45" s="3"/>
      <c r="F45" s="3"/>
      <c r="G45" s="3"/>
      <c r="H45" s="3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3"/>
    </row>
    <row r="46" spans="2:40" ht="84.95" customHeight="1" thickBot="1" x14ac:dyDescent="0.55000000000000004">
      <c r="B46" s="504" t="s">
        <v>51</v>
      </c>
      <c r="C46" s="505"/>
      <c r="D46" s="505"/>
      <c r="E46" s="505"/>
      <c r="F46" s="192">
        <f t="shared" ref="F46:AG46" si="52">F44+F18</f>
        <v>222</v>
      </c>
      <c r="G46" s="193">
        <f t="shared" si="52"/>
        <v>185</v>
      </c>
      <c r="H46" s="193">
        <f t="shared" si="52"/>
        <v>407</v>
      </c>
      <c r="I46" s="46">
        <f t="shared" si="52"/>
        <v>1194</v>
      </c>
      <c r="J46" s="47">
        <f t="shared" si="52"/>
        <v>225</v>
      </c>
      <c r="K46" s="63">
        <f t="shared" si="52"/>
        <v>1419</v>
      </c>
      <c r="L46" s="57">
        <f t="shared" si="52"/>
        <v>29850000</v>
      </c>
      <c r="M46" s="47">
        <f t="shared" si="52"/>
        <v>1620000</v>
      </c>
      <c r="N46" s="48">
        <f t="shared" si="52"/>
        <v>31470000</v>
      </c>
      <c r="O46" s="188">
        <f t="shared" si="52"/>
        <v>5287</v>
      </c>
      <c r="P46" s="181">
        <f t="shared" si="52"/>
        <v>732</v>
      </c>
      <c r="Q46" s="181">
        <f t="shared" si="52"/>
        <v>6019</v>
      </c>
      <c r="R46" s="181">
        <f t="shared" si="52"/>
        <v>37009000</v>
      </c>
      <c r="S46" s="181">
        <f t="shared" si="52"/>
        <v>1756800</v>
      </c>
      <c r="T46" s="63">
        <f t="shared" si="52"/>
        <v>38765800</v>
      </c>
      <c r="U46" s="185">
        <f t="shared" si="52"/>
        <v>34178</v>
      </c>
      <c r="V46" s="186">
        <f t="shared" si="52"/>
        <v>4403</v>
      </c>
      <c r="W46" s="186">
        <f t="shared" si="52"/>
        <v>38581</v>
      </c>
      <c r="X46" s="186">
        <f t="shared" si="52"/>
        <v>136712000</v>
      </c>
      <c r="Y46" s="186">
        <f t="shared" si="52"/>
        <v>5283600</v>
      </c>
      <c r="Z46" s="63">
        <f t="shared" si="52"/>
        <v>141995600</v>
      </c>
      <c r="AA46" s="182">
        <f t="shared" si="52"/>
        <v>56805</v>
      </c>
      <c r="AB46" s="183">
        <f t="shared" si="52"/>
        <v>12806</v>
      </c>
      <c r="AC46" s="183">
        <f t="shared" si="52"/>
        <v>69611</v>
      </c>
      <c r="AD46" s="183">
        <f t="shared" si="52"/>
        <v>28402500</v>
      </c>
      <c r="AE46" s="183">
        <f t="shared" si="52"/>
        <v>10244800</v>
      </c>
      <c r="AF46" s="63">
        <f t="shared" si="52"/>
        <v>38647300</v>
      </c>
      <c r="AG46" s="63">
        <f t="shared" si="52"/>
        <v>250878700</v>
      </c>
      <c r="AH46" s="184">
        <f t="shared" ref="AH46:AM46" si="53">AH44+AH18</f>
        <v>96270</v>
      </c>
      <c r="AI46" s="179">
        <f t="shared" si="53"/>
        <v>17941</v>
      </c>
      <c r="AJ46" s="191">
        <f t="shared" si="53"/>
        <v>114211</v>
      </c>
      <c r="AK46" s="188">
        <f t="shared" si="53"/>
        <v>28376</v>
      </c>
      <c r="AL46" s="180">
        <f t="shared" si="53"/>
        <v>3660</v>
      </c>
      <c r="AM46" s="191">
        <f t="shared" si="53"/>
        <v>32036</v>
      </c>
    </row>
    <row r="47" spans="2:40" ht="15" customHeight="1" thickBot="1" x14ac:dyDescent="1.1499999999999999">
      <c r="B47" s="5"/>
      <c r="C47" s="3"/>
      <c r="D47" s="3"/>
      <c r="E47" s="3"/>
      <c r="F47" s="3"/>
      <c r="G47" s="3"/>
      <c r="H47" s="3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3"/>
    </row>
    <row r="48" spans="2:40" ht="99.95" customHeight="1" thickBot="1" x14ac:dyDescent="0.7">
      <c r="B48" s="5"/>
      <c r="C48" s="2"/>
      <c r="D48" s="2"/>
      <c r="E48" s="510" t="s">
        <v>112</v>
      </c>
      <c r="F48" s="511"/>
      <c r="G48" s="511"/>
      <c r="H48" s="512"/>
      <c r="I48" s="513">
        <f>K46+Q46+W46+AC46+AM46</f>
        <v>147666</v>
      </c>
      <c r="J48" s="514"/>
      <c r="K48" s="515"/>
      <c r="L48" s="4"/>
      <c r="M48" s="4"/>
      <c r="N48" s="4"/>
      <c r="O48" s="4"/>
      <c r="P48" s="4"/>
      <c r="Q48" s="4"/>
      <c r="R48" s="4"/>
      <c r="S48" s="4"/>
      <c r="T48" s="4"/>
      <c r="U48" s="4"/>
      <c r="AD48" s="6"/>
      <c r="AE48" s="6"/>
      <c r="AF48" s="6"/>
      <c r="AG48" s="6"/>
      <c r="AH48" s="6"/>
      <c r="AI48" s="6"/>
      <c r="AJ48" s="6"/>
      <c r="AK48" s="6"/>
      <c r="AL48" s="6"/>
    </row>
    <row r="49" spans="2:46" ht="15" customHeight="1" thickBot="1" x14ac:dyDescent="0.55000000000000004">
      <c r="B49" s="5"/>
      <c r="C49" s="3"/>
      <c r="D49" s="3"/>
      <c r="E49" s="3"/>
      <c r="F49" s="3"/>
      <c r="G49" s="3"/>
      <c r="H49" s="3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</row>
    <row r="50" spans="2:46" ht="90" customHeight="1" thickBot="1" x14ac:dyDescent="0.55000000000000004">
      <c r="B50" s="506" t="s">
        <v>62</v>
      </c>
      <c r="C50" s="507"/>
      <c r="D50" s="507"/>
      <c r="E50" s="507"/>
      <c r="F50" s="507"/>
      <c r="G50" s="507"/>
      <c r="H50" s="507"/>
      <c r="I50" s="508">
        <f>K18+Q18+W18+AC18</f>
        <v>15172</v>
      </c>
      <c r="J50" s="509"/>
      <c r="N50" s="489" t="s">
        <v>63</v>
      </c>
      <c r="O50" s="572" t="s">
        <v>64</v>
      </c>
      <c r="P50" s="573"/>
      <c r="Q50" s="573"/>
      <c r="R50" s="573"/>
      <c r="S50" s="573"/>
      <c r="T50" s="574"/>
      <c r="U50" s="508">
        <f>N18</f>
        <v>5314800</v>
      </c>
      <c r="V50" s="509"/>
      <c r="Z50" s="489" t="s">
        <v>67</v>
      </c>
      <c r="AA50" s="492" t="s">
        <v>64</v>
      </c>
      <c r="AB50" s="493"/>
      <c r="AC50" s="493"/>
      <c r="AD50" s="493"/>
      <c r="AE50" s="493"/>
      <c r="AF50" s="494"/>
      <c r="AG50" s="26">
        <f>N44</f>
        <v>26155200</v>
      </c>
      <c r="AJ50" s="3"/>
      <c r="AK50" s="3"/>
      <c r="AL50" s="3"/>
      <c r="AM50" s="3"/>
      <c r="AP50" s="3"/>
      <c r="AQ50" s="3"/>
      <c r="AR50" s="3"/>
      <c r="AS50" s="3"/>
      <c r="AT50" s="3"/>
    </row>
    <row r="51" spans="2:46" ht="90" customHeight="1" thickBot="1" x14ac:dyDescent="0.55000000000000004">
      <c r="B51" s="506" t="s">
        <v>56</v>
      </c>
      <c r="C51" s="507"/>
      <c r="D51" s="507"/>
      <c r="E51" s="507"/>
      <c r="F51" s="507"/>
      <c r="G51" s="507"/>
      <c r="H51" s="507"/>
      <c r="I51" s="575">
        <f>K44+Q44+W44+AC44</f>
        <v>100458</v>
      </c>
      <c r="J51" s="576"/>
      <c r="N51" s="490"/>
      <c r="O51" s="572" t="s">
        <v>65</v>
      </c>
      <c r="P51" s="573"/>
      <c r="Q51" s="573"/>
      <c r="R51" s="573"/>
      <c r="S51" s="573"/>
      <c r="T51" s="574"/>
      <c r="U51" s="508">
        <f>T18+Z18+AF18</f>
        <v>28797900</v>
      </c>
      <c r="V51" s="509"/>
      <c r="Z51" s="490"/>
      <c r="AA51" s="492" t="s">
        <v>68</v>
      </c>
      <c r="AB51" s="493"/>
      <c r="AC51" s="493"/>
      <c r="AD51" s="493"/>
      <c r="AE51" s="493"/>
      <c r="AF51" s="494"/>
      <c r="AG51" s="25">
        <f>T44+Z44+AF44</f>
        <v>190610800</v>
      </c>
      <c r="AH51" s="3"/>
      <c r="AI51" s="3"/>
      <c r="AJ51" s="3"/>
      <c r="AK51" s="3"/>
      <c r="AL51" s="3"/>
    </row>
    <row r="52" spans="2:46" ht="90" customHeight="1" thickBot="1" x14ac:dyDescent="0.55000000000000004">
      <c r="B52" s="506" t="s">
        <v>72</v>
      </c>
      <c r="C52" s="507"/>
      <c r="D52" s="507"/>
      <c r="E52" s="507"/>
      <c r="F52" s="507"/>
      <c r="G52" s="507"/>
      <c r="H52" s="507"/>
      <c r="I52" s="575">
        <f>I50+I51</f>
        <v>115630</v>
      </c>
      <c r="J52" s="576"/>
      <c r="L52" s="3"/>
      <c r="N52" s="491"/>
      <c r="O52" s="572" t="s">
        <v>66</v>
      </c>
      <c r="P52" s="573"/>
      <c r="Q52" s="573"/>
      <c r="R52" s="573"/>
      <c r="S52" s="573"/>
      <c r="T52" s="574"/>
      <c r="U52" s="508">
        <f>U50+U51</f>
        <v>34112700</v>
      </c>
      <c r="V52" s="509"/>
      <c r="Z52" s="491"/>
      <c r="AA52" s="492" t="s">
        <v>69</v>
      </c>
      <c r="AB52" s="493"/>
      <c r="AC52" s="493"/>
      <c r="AD52" s="493"/>
      <c r="AE52" s="493"/>
      <c r="AF52" s="494"/>
      <c r="AG52" s="25">
        <f>AG50+AG51</f>
        <v>216766000</v>
      </c>
      <c r="AH52" s="3"/>
      <c r="AI52" s="3"/>
      <c r="AJ52" s="3"/>
      <c r="AK52" s="3"/>
      <c r="AL52" s="3"/>
    </row>
    <row r="53" spans="2:46" ht="24.95" customHeight="1" thickBot="1" x14ac:dyDescent="0.55000000000000004">
      <c r="AG53" s="54"/>
      <c r="AH53" s="3"/>
      <c r="AI53" s="3"/>
      <c r="AJ53" s="3"/>
      <c r="AK53" s="3"/>
      <c r="AL53" s="3"/>
    </row>
    <row r="54" spans="2:46" ht="87" customHeight="1" thickBot="1" x14ac:dyDescent="0.55000000000000004">
      <c r="E54" s="566" t="s">
        <v>71</v>
      </c>
      <c r="F54" s="567"/>
      <c r="G54" s="567"/>
      <c r="H54" s="567"/>
      <c r="I54" s="567"/>
      <c r="J54" s="567"/>
      <c r="K54" s="567"/>
      <c r="L54" s="567"/>
      <c r="M54" s="567"/>
      <c r="N54" s="568"/>
      <c r="O54" s="569">
        <f>U52+AG52</f>
        <v>250878700</v>
      </c>
      <c r="P54" s="570"/>
      <c r="Q54" s="570"/>
      <c r="R54" s="570"/>
      <c r="S54" s="570"/>
      <c r="T54" s="571"/>
      <c r="V54" s="577" t="s">
        <v>102</v>
      </c>
      <c r="W54" s="578"/>
      <c r="X54" s="483" t="s">
        <v>166</v>
      </c>
      <c r="Y54" s="484"/>
      <c r="Z54" s="484"/>
      <c r="AA54" s="484"/>
      <c r="AB54" s="484"/>
      <c r="AC54" s="484"/>
      <c r="AD54" s="484"/>
      <c r="AE54" s="484"/>
      <c r="AF54" s="484"/>
      <c r="AG54" s="484"/>
      <c r="AH54" s="484"/>
      <c r="AI54" s="484"/>
      <c r="AJ54" s="484"/>
      <c r="AK54" s="484"/>
      <c r="AL54" s="484"/>
      <c r="AM54" s="485"/>
    </row>
    <row r="58" spans="2:46" ht="44.25" customHeight="1" x14ac:dyDescent="0.5"/>
    <row r="59" spans="2:46" ht="44.25" customHeight="1" x14ac:dyDescent="0.5"/>
    <row r="60" spans="2:46" ht="44.25" customHeight="1" x14ac:dyDescent="0.5"/>
    <row r="63" spans="2:46" ht="44.25" customHeight="1" x14ac:dyDescent="0.5"/>
    <row r="64" spans="2:46" ht="44.25" customHeight="1" x14ac:dyDescent="0.5"/>
    <row r="65" ht="44.25" customHeight="1" x14ac:dyDescent="0.5"/>
    <row r="66" ht="44.25" customHeight="1" x14ac:dyDescent="0.5"/>
    <row r="67" ht="44.25" customHeight="1" x14ac:dyDescent="0.5"/>
  </sheetData>
  <mergeCells count="57">
    <mergeCell ref="B44:E44"/>
    <mergeCell ref="C7:C10"/>
    <mergeCell ref="D7:D10"/>
    <mergeCell ref="E7:E10"/>
    <mergeCell ref="F7:H9"/>
    <mergeCell ref="B11:B17"/>
    <mergeCell ref="B18:E18"/>
    <mergeCell ref="B20:B43"/>
    <mergeCell ref="O8:Q9"/>
    <mergeCell ref="R8:S8"/>
    <mergeCell ref="T8:T10"/>
    <mergeCell ref="AD8:AE8"/>
    <mergeCell ref="U8:W9"/>
    <mergeCell ref="X8:Y8"/>
    <mergeCell ref="E54:N54"/>
    <mergeCell ref="O54:T54"/>
    <mergeCell ref="N50:N52"/>
    <mergeCell ref="O50:T50"/>
    <mergeCell ref="U50:V50"/>
    <mergeCell ref="B51:H51"/>
    <mergeCell ref="I51:J51"/>
    <mergeCell ref="B52:H52"/>
    <mergeCell ref="I52:J52"/>
    <mergeCell ref="O52:T52"/>
    <mergeCell ref="U52:V52"/>
    <mergeCell ref="U51:V51"/>
    <mergeCell ref="O51:T51"/>
    <mergeCell ref="V54:W54"/>
    <mergeCell ref="N8:N10"/>
    <mergeCell ref="L8:M8"/>
    <mergeCell ref="AH8:AJ9"/>
    <mergeCell ref="B3:D4"/>
    <mergeCell ref="E3:AM3"/>
    <mergeCell ref="E4:AM4"/>
    <mergeCell ref="B5:D6"/>
    <mergeCell ref="E5:AM5"/>
    <mergeCell ref="E6:AM6"/>
    <mergeCell ref="AK8:AL9"/>
    <mergeCell ref="B7:B10"/>
    <mergeCell ref="I7:AM7"/>
    <mergeCell ref="I8:K9"/>
    <mergeCell ref="AF8:AF10"/>
    <mergeCell ref="AG8:AG10"/>
    <mergeCell ref="AM8:AM10"/>
    <mergeCell ref="B46:E46"/>
    <mergeCell ref="B50:H50"/>
    <mergeCell ref="I50:J50"/>
    <mergeCell ref="E48:H48"/>
    <mergeCell ref="I48:K48"/>
    <mergeCell ref="X54:AM54"/>
    <mergeCell ref="AK1:AM1"/>
    <mergeCell ref="Z50:Z52"/>
    <mergeCell ref="AA50:AF50"/>
    <mergeCell ref="Z8:Z10"/>
    <mergeCell ref="AA8:AC9"/>
    <mergeCell ref="AA52:AF52"/>
    <mergeCell ref="AA51:AF51"/>
  </mergeCells>
  <printOptions horizontalCentered="1" verticalCentered="1"/>
  <pageMargins left="0.2" right="0.2" top="0.25" bottom="0.25" header="0.3" footer="0.3"/>
  <pageSetup paperSize="8" scale="2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عملکرد نهایی</vt:lpstr>
      <vt:lpstr>ارزیابی و برآورد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Rouhani</dc:creator>
  <cp:lastModifiedBy>Mohsen Rashtian</cp:lastModifiedBy>
  <cp:lastPrinted>2026-07-21T02:51:16Z</cp:lastPrinted>
  <dcterms:created xsi:type="dcterms:W3CDTF">2026-03-03T10:23:34Z</dcterms:created>
  <dcterms:modified xsi:type="dcterms:W3CDTF">2026-08-15T04:15:25Z</dcterms:modified>
</cp:coreProperties>
</file>