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azemi\Desktop\دربندی\"/>
    </mc:Choice>
  </mc:AlternateContent>
  <xr:revisionPtr revIDLastSave="0" documentId="13_ncr:1_{0000B975-E506-44F4-A246-9F93D91B8129}" xr6:coauthVersionLast="47" xr6:coauthVersionMax="47" xr10:uidLastSave="{00000000-0000-0000-0000-000000000000}"/>
  <bookViews>
    <workbookView xWindow="-120" yWindow="-120" windowWidth="29040" windowHeight="15720" tabRatio="633" xr2:uid="{03B1A1FA-9EE2-41B9-8E40-525D53F0FEDF}"/>
  </bookViews>
  <sheets>
    <sheet name="WarReport" sheetId="9" r:id="rId1"/>
    <sheet name="SMS" sheetId="7" r:id="rId2"/>
    <sheet name="Mobile" sheetId="8" r:id="rId3"/>
  </sheets>
  <definedNames>
    <definedName name="_xlnm._FilterDatabase" localSheetId="0" hidden="1">WarReport!$A$1:$Y$27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9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K3" i="9" l="1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3" i="9"/>
  <c r="K2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R2" i="9" l="1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B8" i="7" a="1"/>
  <c r="B12" i="7" a="1"/>
  <c r="B19" i="7" a="1"/>
  <c r="B16" i="7" a="1"/>
  <c r="B22" i="7" a="1"/>
  <c r="B10" i="7" a="1"/>
  <c r="B11" i="7" a="1"/>
  <c r="B18" i="7" a="1"/>
  <c r="B14" i="7" a="1"/>
  <c r="B17" i="7" a="1"/>
  <c r="B23" i="7" a="1"/>
  <c r="B24" i="7" a="1"/>
  <c r="B2" i="7" a="1"/>
  <c r="B21" i="7" a="1"/>
  <c r="B6" i="7" a="1"/>
  <c r="B25" i="7" a="1"/>
  <c r="B5" i="7" a="1"/>
  <c r="B15" i="7" a="1"/>
  <c r="B4" i="7" a="1"/>
  <c r="B20" i="7" a="1"/>
  <c r="B9" i="7" a="1"/>
  <c r="B7" i="7" a="1"/>
  <c r="B16" i="7" l="1"/>
  <c r="B21" i="7"/>
  <c r="B12" i="7"/>
  <c r="B8" i="7"/>
  <c r="B20" i="7"/>
  <c r="B15" i="7"/>
  <c r="B24" i="7"/>
  <c r="B14" i="7"/>
  <c r="B10" i="7"/>
  <c r="B25" i="7"/>
  <c r="B18" i="7"/>
  <c r="B6" i="7"/>
  <c r="B2" i="7"/>
  <c r="B5" i="7"/>
  <c r="B22" i="7"/>
  <c r="B23" i="7"/>
  <c r="B19" i="7"/>
  <c r="B4" i="7"/>
  <c r="B9" i="7"/>
  <c r="B11" i="7"/>
  <c r="B7" i="7"/>
  <c r="B1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<sst xmlns="http://schemas.openxmlformats.org/spreadsheetml/2006/main" count="112" uniqueCount="85">
  <si>
    <t>تاریخ گزارش</t>
  </si>
  <si>
    <t>معرفی به نظام مهندسی</t>
  </si>
  <si>
    <t>نقشه تهیه شده</t>
  </si>
  <si>
    <t>معرفی به شهرداری</t>
  </si>
  <si>
    <t>پروانه صادر شده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</si>
  <si>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</si>
  <si>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</si>
  <si>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</si>
  <si>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</si>
  <si>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</si>
  <si>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</si>
  <si>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</si>
  <si>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</si>
  <si>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</si>
  <si>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</si>
  <si>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</si>
  <si>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</si>
  <si>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</si>
  <si>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</si>
  <si>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</si>
  <si>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</si>
  <si>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</si>
  <si>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</si>
  <si>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</si>
  <si>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</si>
  <si>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</si>
  <si>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</si>
  <si>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</si>
  <si>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</si>
  <si>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</si>
  <si>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</si>
  <si>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</si>
  <si>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</si>
  <si>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</si>
  <si>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</si>
  <si>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منوچهر خواجه‌دلویی</t>
  </si>
  <si>
    <t>شهاب‌الدین دربندی</t>
  </si>
  <si>
    <t>نام استان</t>
  </si>
  <si>
    <t>تعمیری  نوع 1</t>
  </si>
  <si>
    <t>تعمیری  نوع 2</t>
  </si>
  <si>
    <t>تعمیری  نوع 3</t>
  </si>
  <si>
    <t xml:space="preserve">جمع تعمیری  </t>
  </si>
  <si>
    <t xml:space="preserve">ارزیابی شهر و روستا  </t>
  </si>
  <si>
    <t xml:space="preserve">ارزیابی کلان‌شهرها  </t>
  </si>
  <si>
    <t xml:space="preserve">ارزیابی کل  </t>
  </si>
  <si>
    <t xml:space="preserve">آواربرداری </t>
  </si>
  <si>
    <t xml:space="preserve">تعمیرات نوع 2  </t>
  </si>
  <si>
    <t xml:space="preserve">تعمیرات نوع 3  </t>
  </si>
  <si>
    <t xml:space="preserve">کل تعمیری  </t>
  </si>
  <si>
    <t xml:space="preserve">معرفی به سامانه  </t>
  </si>
  <si>
    <t xml:space="preserve">تعداد تسهیلات پرداختی  </t>
  </si>
  <si>
    <t xml:space="preserve">احداثی  </t>
  </si>
  <si>
    <t xml:space="preserve">معیشتی  </t>
  </si>
  <si>
    <t>آذربایجان شرقی</t>
  </si>
  <si>
    <t>اصفهان</t>
  </si>
  <si>
    <t>البرز</t>
  </si>
  <si>
    <t>خوزستان</t>
  </si>
  <si>
    <t>فارس</t>
  </si>
  <si>
    <t>قم</t>
  </si>
  <si>
    <t>کرمانشاه</t>
  </si>
  <si>
    <t>ایلام</t>
  </si>
  <si>
    <t>آذربایجان غربی</t>
  </si>
  <si>
    <t>بوشهر</t>
  </si>
  <si>
    <t>زنجان</t>
  </si>
  <si>
    <t>قزوین</t>
  </si>
  <si>
    <t>کردستان</t>
  </si>
  <si>
    <t>لرستان</t>
  </si>
  <si>
    <t>مرکزی</t>
  </si>
  <si>
    <t>همدان</t>
  </si>
  <si>
    <t>تهران</t>
  </si>
  <si>
    <t>یزد</t>
  </si>
  <si>
    <t>سمنان</t>
  </si>
  <si>
    <t>مازندران</t>
  </si>
  <si>
    <t>گیلان</t>
  </si>
  <si>
    <t>هرمزگان</t>
  </si>
  <si>
    <t>چهار محال و بختیاری</t>
  </si>
  <si>
    <t xml:space="preserve">اعتبار احداثی (میلیون ریال)  </t>
  </si>
  <si>
    <t xml:space="preserve">اعتبار تعمیری (میلیون ریال)  </t>
  </si>
  <si>
    <t>شهرهای آسسیب دیده</t>
  </si>
  <si>
    <t xml:space="preserve"> روستا های آسیب دیده</t>
  </si>
  <si>
    <t xml:space="preserve">کل اعتبار مورد نیاز  (میلیون ریال)  </t>
  </si>
  <si>
    <t xml:space="preserve">تسهیلات پرداختی (میلیارد تومان)  </t>
  </si>
  <si>
    <t>ردیف</t>
  </si>
  <si>
    <t>کل استان‌ها</t>
  </si>
  <si>
    <t>1405/05/22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</si>
</sst>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Titr"/>
      <charset val="178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0"/>
      <color theme="1"/>
      <name val="B Traffic"/>
      <charset val="178"/>
    </font>
    <font>
      <b/>
      <sz val="11"/>
      <color theme="1"/>
      <name val="B Nazanin"/>
      <charset val="178"/>
    </font>
    <font>
      <b/>
      <shadow/>
      <sz val="11"/>
      <color theme="0"/>
      <name val="B Zar"/>
      <charset val="178"/>
    </font>
    <font>
      <b/>
      <sz val="11"/>
      <color theme="1"/>
      <name val="B Titr"/>
      <charset val="178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3" fontId="6" fillId="4" borderId="1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10" fillId="5" borderId="2" xfId="0" applyFont="1" applyFill="1" applyBorder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9" borderId="3" xfId="0" applyFont="1" applyFill="1" applyBorder="1" applyAlignment="1">
      <alignment horizontal="center" vertical="center" wrapText="1" readingOrder="2"/>
    </xf>
    <xf numFmtId="0" fontId="17" fillId="10" borderId="1" xfId="0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8" fillId="11" borderId="8" xfId="0" applyNumberFormat="1" applyFont="1" applyFill="1" applyBorder="1" applyAlignment="1">
      <alignment horizontal="center" vertical="center"/>
    </xf>
    <xf numFmtId="164" fontId="18" fillId="11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</cellXfs>
  <cellStyles count="20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2 4" xfId="12" xr:uid="{A480E00A-9FF3-409B-9236-13BB28109BA5}"/>
    <cellStyle name="Normal 2 2 5" xfId="15" xr:uid="{9CD51931-87F4-4264-9BAC-83E421ACAD21}"/>
    <cellStyle name="Normal 2 2 6" xfId="18" xr:uid="{37A76DC0-0A5E-4D4C-9BF1-47343E89D2A4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3 4" xfId="13" xr:uid="{A8793606-7DE5-4074-B336-745668954A14}"/>
    <cellStyle name="Normal 2 3 5" xfId="16" xr:uid="{CA0A01AF-D35C-46A3-974D-01508B5B4010}"/>
    <cellStyle name="Normal 2 3 6" xfId="19" xr:uid="{D9DEE0A4-3532-40C6-8744-116EEB1781CC}"/>
    <cellStyle name="Normal 2 4" xfId="5" xr:uid="{E23E8733-0732-483F-ABB1-4A291EADCC77}"/>
    <cellStyle name="Normal 2 5" xfId="8" xr:uid="{EAD863BB-6BC9-4CE9-964A-3B8AF5F0C851}"/>
    <cellStyle name="Normal 2 6" xfId="11" xr:uid="{A184165F-CE91-44C8-B49A-817641F4C993}"/>
    <cellStyle name="Normal 2 7" xfId="14" xr:uid="{F5D417CA-85E0-4BC6-B335-1089FF09ED56}"/>
    <cellStyle name="Normal 2 8" xfId="17" xr:uid="{D5392010-8548-4561-94AE-40059A46BCF6}"/>
    <cellStyle name="Normal 3" xfId="1" xr:uid="{F128020F-8DAB-486A-B637-526EA9AE6C6D}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/>
        <u val="none"/>
        <vertAlign val="baseline"/>
        <sz val="11"/>
        <color theme="0"/>
        <name val="B Zar"/>
        <charset val="178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717F1-F1A4-4F16-8044-A9875CFC245B}" name="Table3" displayName="Table3" ref="A1:AC28" totalsRowCount="1" headerRowDxfId="65" dataDxfId="63" totalsRowDxfId="62" headerRowBorderDxfId="64">
  <autoFilter ref="A1:AC27" xr:uid="{6E6717F1-F1A4-4F16-8044-A9875CFC245B}"/>
  <tableColumns count="29">
    <tableColumn id="1" xr3:uid="{2FB7AC62-7D8B-48CA-88D0-FDD3661FEABF}" name="ردیف" dataDxfId="61" totalsRowDxfId="28"/>
    <tableColumn id="3" xr3:uid="{AB87C0B4-9201-4F40-A792-90EC502B5EA6}" name="نام استان" dataDxfId="60" totalsRowDxfId="27"/>
    <tableColumn id="2" xr3:uid="{53A50CBC-5B42-4ACA-A29E-D0A5E8A55E8C}" name="تاریخ گزارش" dataDxfId="59" totalsRowDxfId="26"/>
    <tableColumn id="29" xr3:uid="{C81548B6-C49B-4433-B040-1475500B0B58}" name="شهرهای آسسیب دیده" dataDxfId="58" totalsRowDxfId="25"/>
    <tableColumn id="30" xr3:uid="{2C2C7158-B8DA-42F1-82E1-1665232057AD}" name=" روستا های آسیب دیده" dataDxfId="57" totalsRowDxfId="24"/>
    <tableColumn id="4" xr3:uid="{285A0E2C-29D4-497F-A5A1-1C6B648FA22E}" name="تعمیری  نوع 1" dataDxfId="56" totalsRowDxfId="23"/>
    <tableColumn id="5" xr3:uid="{68D05F15-A8E3-42A6-96BA-D51FB2C880DF}" name="تعمیری  نوع 2" dataDxfId="55" totalsRowDxfId="22"/>
    <tableColumn id="6" xr3:uid="{5551C4E8-1CC0-4497-8372-5A189BFD1B69}" name="تعمیری  نوع 3" dataDxfId="54" totalsRowDxfId="21"/>
    <tableColumn id="7" xr3:uid="{6B1711B3-92F0-4ECF-BDCD-63B5F43FCA25}" name="احداثی  " dataDxfId="53" totalsRowDxfId="20"/>
    <tableColumn id="8" xr3:uid="{6C89D5A0-F55B-4A21-B902-2CF2ADB623B1}" name="معیشتی  " dataDxfId="52" totalsRowDxfId="19"/>
    <tableColumn id="9" xr3:uid="{C93A1B6A-26AC-4936-BD1D-CCE0243EAA14}" name="جمع تعمیری  " dataDxfId="51" totalsRowDxfId="18"/>
    <tableColumn id="10" xr3:uid="{1C759F9A-FFDE-46C8-A5E4-89D64D477D40}" name="ارزیابی شهر و روستا  " dataDxfId="50" totalsRowDxfId="17">
      <calculatedColumnFormula>Table3[[#This Row],[جمع تعمیری  ]]+Table3[[#This Row],[معیشتی  ]]+Table3[[#This Row],[احداثی  ]]</calculatedColumnFormula>
    </tableColumn>
    <tableColumn id="11" xr3:uid="{BB3B2BF7-ED5A-4EE5-933D-D978D8F39C3D}" name="ارزیابی کلان‌شهرها  " dataDxfId="49" totalsRowDxfId="16">
      <calculatedColumnFormula>Table3[[#This Row],[احداثی  ]]+Table3[[#This Row],[معیشتی  ]]+Table3[[#This Row],[تعمیری  نوع 3]]+Table3[[#This Row],[تعمیری  نوع 2]]+Table3[[#This Row],[تعمیری  نوع 1]]</calculatedColumnFormula>
    </tableColumn>
    <tableColumn id="12" xr3:uid="{2DFF159E-BDDE-4DB3-AB38-B229E4212AAC}" name="ارزیابی کل  " dataDxfId="48" totalsRowDxfId="15">
      <calculatedColumnFormula>Table3[[#This Row],[ارزیابی شهر و روستا  ]]-Table3[[#This Row],[جمع تعمیری  ]]</calculatedColumnFormula>
    </tableColumn>
    <tableColumn id="13" xr3:uid="{9A8A9A70-BFEB-4E94-9D46-4A2892405B42}" name="کل اعتبار مورد نیاز  (میلیون ریال)  " dataDxfId="47" totalsRowDxfId="14">
      <calculatedColumnFormula>Table3[[#This Row],[اعتبار تعمیری (میلیون ریال)  ]]+Table3[[#This Row],[اعتبار احداثی (میلیون ریال)  ]]</calculatedColumnFormula>
    </tableColumn>
    <tableColumn id="14" xr3:uid="{701ED0B6-FC32-4178-BF8F-1CFF1647EA3D}" name="اعتبار احداثی (میلیون ریال)  " dataDxfId="46" totalsRowDxfId="13"/>
    <tableColumn id="15" xr3:uid="{8FA9E6EB-FB60-4BDE-91B1-02D442E848D8}" name="اعتبار تعمیری (میلیون ریال)  " dataDxfId="45" totalsRowDxfId="12"/>
    <tableColumn id="16" xr3:uid="{2D320D05-15FC-4552-8816-11C0EABC7510}" name="آواربرداری " dataDxfId="44" totalsRowDxfId="11"/>
    <tableColumn id="18" xr3:uid="{A6A367B0-5877-4C4D-84A1-46F620BB5F2D}" name="تعمیرات نوع 1" dataDxfId="43" totalsRowDxfId="10"/>
    <tableColumn id="19" xr3:uid="{C87F0913-9A88-4382-AF17-1BDD17C792DC}" name="تعمیرات نوع 2  " dataDxfId="42" totalsRowDxfId="9"/>
    <tableColumn id="20" xr3:uid="{79BC17B2-D487-4CF3-89C1-3129A9B5ACAE}" name="تعمیرات نوع 3  " dataDxfId="41" totalsRowDxfId="8"/>
    <tableColumn id="21" xr3:uid="{E860E4F9-435F-403A-99DC-4F09B4E8794B}" name="کل تعمیری  " dataDxfId="40" totalsRowDxfId="7"/>
    <tableColumn id="22" xr3:uid="{47EB2854-6047-467B-BA16-506DBA14E507}" name="معرفی به سامانه  " dataDxfId="39" totalsRowDxfId="6"/>
    <tableColumn id="23" xr3:uid="{0ED34F35-9434-4F5B-ACFB-80A7458F3977}" name="تعداد تسهیلات پرداختی  " dataDxfId="38" totalsRowDxfId="5"/>
    <tableColumn id="24" xr3:uid="{DCD79A9D-DE2F-425C-8599-D196FBDB4566}" name="تسهیلات پرداختی (میلیارد تومان)  " dataDxfId="37" totalsRowDxfId="4"/>
    <tableColumn id="25" xr3:uid="{01D646E1-811B-48EC-9221-0D5D49EC924F}" name="معرفی به نظام مهندسی" dataDxfId="36" totalsRowDxfId="3"/>
    <tableColumn id="26" xr3:uid="{7FE23065-0138-4E30-9D70-CF743FFA6B72}" name="نقشه تهیه شده" dataDxfId="35" totalsRowDxfId="2"/>
    <tableColumn id="27" xr3:uid="{3E7C0D45-B032-430F-B645-0655B239A9A0}" name="معرفی به شهرداری" dataDxfId="34" totalsRowDxfId="1"/>
    <tableColumn id="28" xr3:uid="{F2B75F71-1A59-4B6E-9195-9D5C9D62F31F}" name="پروانه صادر شده" dataDxfId="33" totalsRowDxfId="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2" totalsRowShown="0" headerRowDxfId="32" dataDxfId="31">
  <autoFilter ref="A1:B22" xr:uid="{DEE1957F-E1AA-46B9-9BA0-8CD1D8597BC0}"/>
  <tableColumns count="2">
    <tableColumn id="1" xr3:uid="{B5BAE426-C4CE-46D3-9A67-24B0EC98ED44}" name="نام و نام خانوادگی" dataDxfId="30"/>
    <tableColumn id="2" xr3:uid="{72ACDF6A-4EAE-4258-9051-F66922FA3B55}" name="تلفن همراه" dataDxfId="2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D8A-2632-4631-924F-585C11524307}">
  <dimension ref="A1:AC32"/>
  <sheetViews>
    <sheetView rightToLeft="1" tabSelected="1" zoomScaleNormal="100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S34" sqref="S34"/>
    </sheetView>
  </sheetViews>
  <sheetFormatPr defaultRowHeight="14.25" x14ac:dyDescent="0.2"/>
  <cols>
    <col min="1" max="1" width="8.75" style="12" bestFit="1" customWidth="1"/>
    <col min="2" max="2" width="15.875" style="12" customWidth="1"/>
    <col min="3" max="3" width="13.875" style="12" bestFit="1" customWidth="1"/>
    <col min="4" max="4" width="19.75" style="12" customWidth="1"/>
    <col min="5" max="5" width="19" style="12" customWidth="1"/>
    <col min="6" max="8" width="14.375" style="12" bestFit="1" customWidth="1"/>
    <col min="9" max="9" width="10.125" style="12" bestFit="1" customWidth="1"/>
    <col min="10" max="10" width="9.5" style="12" bestFit="1" customWidth="1"/>
    <col min="11" max="11" width="13.375" style="12" bestFit="1" customWidth="1"/>
    <col min="12" max="13" width="17.625" style="12" bestFit="1" customWidth="1"/>
    <col min="14" max="14" width="12.5" style="12" bestFit="1" customWidth="1"/>
    <col min="15" max="15" width="25" style="12" bestFit="1" customWidth="1"/>
    <col min="16" max="16" width="19.5" style="12" bestFit="1" customWidth="1"/>
    <col min="17" max="17" width="19.125" style="12" bestFit="1" customWidth="1"/>
    <col min="18" max="18" width="12.5" style="12" bestFit="1" customWidth="1"/>
    <col min="19" max="21" width="14.625" style="12" bestFit="1" customWidth="1"/>
    <col min="22" max="22" width="12.5" style="12" bestFit="1" customWidth="1"/>
    <col min="23" max="23" width="14.875" style="12" bestFit="1" customWidth="1"/>
    <col min="24" max="24" width="20.625" style="12" bestFit="1" customWidth="1"/>
    <col min="25" max="25" width="22.625" style="12" customWidth="1"/>
    <col min="26" max="26" width="20" style="12" customWidth="1"/>
    <col min="27" max="27" width="14" style="12" bestFit="1" customWidth="1"/>
    <col min="28" max="28" width="17.375" style="12" customWidth="1"/>
    <col min="29" max="29" width="15.875" style="12" bestFit="1" customWidth="1"/>
    <col min="30" max="16384" width="9" style="12"/>
  </cols>
  <sheetData>
    <row r="1" spans="1:29" ht="27.75" customHeight="1" thickBot="1" x14ac:dyDescent="0.25">
      <c r="A1" s="18" t="s">
        <v>82</v>
      </c>
      <c r="B1" s="18" t="s">
        <v>37</v>
      </c>
      <c r="C1" s="14" t="s">
        <v>0</v>
      </c>
      <c r="D1" s="14" t="s">
        <v>78</v>
      </c>
      <c r="E1" s="14" t="s">
        <v>79</v>
      </c>
      <c r="F1" s="14" t="s">
        <v>38</v>
      </c>
      <c r="G1" s="14" t="s">
        <v>39</v>
      </c>
      <c r="H1" s="14" t="s">
        <v>40</v>
      </c>
      <c r="I1" s="15" t="s">
        <v>51</v>
      </c>
      <c r="J1" s="15" t="s">
        <v>52</v>
      </c>
      <c r="K1" s="15" t="s">
        <v>41</v>
      </c>
      <c r="L1" s="15" t="s">
        <v>42</v>
      </c>
      <c r="M1" s="15" t="s">
        <v>43</v>
      </c>
      <c r="N1" s="15" t="s">
        <v>44</v>
      </c>
      <c r="O1" s="16" t="s">
        <v>80</v>
      </c>
      <c r="P1" s="16" t="s">
        <v>76</v>
      </c>
      <c r="Q1" s="16" t="s">
        <v>77</v>
      </c>
      <c r="R1" s="16" t="s">
        <v>45</v>
      </c>
      <c r="S1" s="16" t="s">
        <v>8</v>
      </c>
      <c r="T1" s="16" t="s">
        <v>46</v>
      </c>
      <c r="U1" s="16" t="s">
        <v>47</v>
      </c>
      <c r="V1" s="16" t="s">
        <v>48</v>
      </c>
      <c r="W1" s="16" t="s">
        <v>49</v>
      </c>
      <c r="X1" s="16" t="s">
        <v>50</v>
      </c>
      <c r="Y1" s="16" t="s">
        <v>81</v>
      </c>
      <c r="Z1" s="17" t="s">
        <v>1</v>
      </c>
      <c r="AA1" s="17" t="s">
        <v>2</v>
      </c>
      <c r="AB1" s="17" t="s">
        <v>3</v>
      </c>
      <c r="AC1" s="17" t="s">
        <v>4</v>
      </c>
    </row>
    <row r="2" spans="1:29" s="20" customFormat="1" ht="23.25" thickTop="1" x14ac:dyDescent="0.2">
      <c r="A2" s="21">
        <v>0</v>
      </c>
      <c r="B2" s="22" t="s">
        <v>83</v>
      </c>
      <c r="C2" s="22" t="s">
        <v>84</v>
      </c>
      <c r="D2" s="22">
        <v>222</v>
      </c>
      <c r="E2" s="22">
        <v>185</v>
      </c>
      <c r="F2" s="22">
        <v>6019</v>
      </c>
      <c r="G2" s="22">
        <v>38581</v>
      </c>
      <c r="H2" s="22">
        <v>69611</v>
      </c>
      <c r="I2" s="22">
        <v>1419</v>
      </c>
      <c r="J2" s="22">
        <v>32036</v>
      </c>
      <c r="K2" s="22">
        <f>Table3[[#This Row],[تعمیری  نوع 3]]+Table3[[#This Row],[تعمیری  نوع 2]]+Table3[[#This Row],[تعمیری  نوع 1]]</f>
        <v>114211</v>
      </c>
      <c r="L2" s="22">
        <v>128023</v>
      </c>
      <c r="M2" s="22">
        <v>19643</v>
      </c>
      <c r="N2" s="22">
        <v>147666</v>
      </c>
      <c r="O2" s="22">
        <v>250878700</v>
      </c>
      <c r="P2" s="22">
        <v>31434400</v>
      </c>
      <c r="Q2" s="22">
        <v>219408700</v>
      </c>
      <c r="R2" s="22">
        <f>SUM(R3:R26)</f>
        <v>474</v>
      </c>
      <c r="S2" s="22">
        <v>1811</v>
      </c>
      <c r="T2" s="22">
        <v>14849</v>
      </c>
      <c r="U2" s="22">
        <v>48249</v>
      </c>
      <c r="V2" s="22">
        <v>64909</v>
      </c>
      <c r="W2" s="22">
        <v>3259</v>
      </c>
      <c r="X2" s="22">
        <v>1664</v>
      </c>
      <c r="Y2" s="23">
        <v>1664.4000000000005</v>
      </c>
      <c r="Z2" s="22">
        <v>1480</v>
      </c>
      <c r="AA2" s="22">
        <v>465</v>
      </c>
      <c r="AB2" s="22">
        <v>1275</v>
      </c>
      <c r="AC2" s="22">
        <v>333</v>
      </c>
    </row>
    <row r="3" spans="1:29" s="20" customFormat="1" ht="20.25" x14ac:dyDescent="0.2">
      <c r="A3" s="21">
        <v>1</v>
      </c>
      <c r="B3" s="21" t="s">
        <v>53</v>
      </c>
      <c r="C3" s="21" t="s">
        <v>84</v>
      </c>
      <c r="D3" s="21">
        <v>15</v>
      </c>
      <c r="E3" s="21">
        <v>17</v>
      </c>
      <c r="F3" s="21">
        <v>179</v>
      </c>
      <c r="G3" s="21">
        <v>1683</v>
      </c>
      <c r="H3" s="21">
        <v>6147</v>
      </c>
      <c r="I3" s="21">
        <v>75</v>
      </c>
      <c r="J3" s="21">
        <v>1424</v>
      </c>
      <c r="K3" s="21">
        <f>Table3[[#This Row],[تعمیری  نوع 3]]+Table3[[#This Row],[تعمیری  نوع 2]]+Table3[[#This Row],[تعمیری  نوع 1]]</f>
        <v>8009</v>
      </c>
      <c r="L3" s="21">
        <v>6127</v>
      </c>
      <c r="M3" s="21">
        <v>3381</v>
      </c>
      <c r="N3" s="21">
        <f>Table3[[#This Row],[ارزیابی کلان‌شهرها  ]]+Table3[[#This Row],[ارزیابی شهر و روستا  ]]</f>
        <v>9508</v>
      </c>
      <c r="O3" s="21">
        <f>Table3[[#This Row],[اعتبار تعمیری (میلیون ریال)  ]]+Table3[[#This Row],[اعتبار احداثی (میلیون ریال)  ]]</f>
        <v>11871200</v>
      </c>
      <c r="P3" s="21">
        <v>1590200</v>
      </c>
      <c r="Q3" s="21">
        <v>10281000</v>
      </c>
      <c r="R3" s="21">
        <v>62</v>
      </c>
      <c r="S3" s="21">
        <v>38</v>
      </c>
      <c r="T3" s="21">
        <v>792</v>
      </c>
      <c r="U3" s="21">
        <v>3131</v>
      </c>
      <c r="V3" s="21">
        <f>Table3[[#This Row],[تعمیرات نوع 3  ]]+Table3[[#This Row],[تعمیرات نوع 2  ]]+Table3[[#This Row],[تعمیرات نوع 1]]</f>
        <v>3961</v>
      </c>
      <c r="W3" s="21">
        <v>120</v>
      </c>
      <c r="X3" s="21">
        <v>115</v>
      </c>
      <c r="Y3" s="24">
        <v>46.1</v>
      </c>
      <c r="Z3" s="20">
        <v>55</v>
      </c>
      <c r="AA3" s="20">
        <v>36</v>
      </c>
      <c r="AB3" s="20">
        <v>55</v>
      </c>
      <c r="AC3" s="20">
        <v>19</v>
      </c>
    </row>
    <row r="4" spans="1:29" s="20" customFormat="1" ht="20.25" x14ac:dyDescent="0.2">
      <c r="A4" s="21">
        <v>2</v>
      </c>
      <c r="B4" s="21" t="s">
        <v>54</v>
      </c>
      <c r="C4" s="21" t="s">
        <v>84</v>
      </c>
      <c r="D4" s="21">
        <v>31</v>
      </c>
      <c r="E4" s="21">
        <v>12</v>
      </c>
      <c r="F4" s="21">
        <v>590</v>
      </c>
      <c r="G4" s="21">
        <v>3179</v>
      </c>
      <c r="H4" s="21">
        <v>5447</v>
      </c>
      <c r="I4" s="21">
        <v>55</v>
      </c>
      <c r="J4" s="21">
        <v>3363</v>
      </c>
      <c r="K4" s="21">
        <f>Table3[[#This Row],[تعمیری  نوع 3]]+Table3[[#This Row],[تعمیری  نوع 2]]+Table3[[#This Row],[تعمیری  نوع 1]]</f>
        <v>9216</v>
      </c>
      <c r="L4" s="21">
        <v>8370</v>
      </c>
      <c r="M4" s="21">
        <v>4264</v>
      </c>
      <c r="N4" s="21">
        <f>Table3[[#This Row],[ارزیابی کلان‌شهرها  ]]+Table3[[#This Row],[ارزیابی شهر و روستا  ]]</f>
        <v>12634</v>
      </c>
      <c r="O4" s="21">
        <f>Table3[[#This Row],[اعتبار تعمیری (میلیون ریال)  ]]+Table3[[#This Row],[اعتبار احداثی (میلیون ریال)  ]]</f>
        <v>19680200</v>
      </c>
      <c r="P4" s="21">
        <v>1054600</v>
      </c>
      <c r="Q4" s="21">
        <v>18625600</v>
      </c>
      <c r="R4" s="21">
        <v>10</v>
      </c>
      <c r="S4" s="21">
        <v>64</v>
      </c>
      <c r="T4" s="21">
        <v>418</v>
      </c>
      <c r="U4" s="21">
        <v>3018</v>
      </c>
      <c r="V4" s="21">
        <f>Table3[[#This Row],[تعمیرات نوع 3  ]]+Table3[[#This Row],[تعمیرات نوع 2  ]]+Table3[[#This Row],[تعمیرات نوع 1]]</f>
        <v>3500</v>
      </c>
      <c r="W4" s="21">
        <v>249</v>
      </c>
      <c r="X4" s="21">
        <v>245</v>
      </c>
      <c r="Y4" s="24">
        <v>128.80000000000001</v>
      </c>
      <c r="Z4" s="20">
        <v>38</v>
      </c>
      <c r="AA4" s="20">
        <v>10</v>
      </c>
      <c r="AB4" s="20">
        <v>38</v>
      </c>
      <c r="AC4" s="20">
        <v>5</v>
      </c>
    </row>
    <row r="5" spans="1:29" s="20" customFormat="1" ht="20.25" x14ac:dyDescent="0.2">
      <c r="A5" s="21">
        <v>3</v>
      </c>
      <c r="B5" s="21" t="s">
        <v>55</v>
      </c>
      <c r="C5" s="21" t="s">
        <v>84</v>
      </c>
      <c r="D5" s="21">
        <v>14</v>
      </c>
      <c r="E5" s="21">
        <v>7</v>
      </c>
      <c r="F5" s="21">
        <v>448</v>
      </c>
      <c r="G5" s="21">
        <v>2255</v>
      </c>
      <c r="H5" s="21">
        <v>2283</v>
      </c>
      <c r="I5" s="21">
        <v>125</v>
      </c>
      <c r="J5" s="21">
        <v>1510</v>
      </c>
      <c r="K5" s="21">
        <f>Table3[[#This Row],[تعمیری  نوع 3]]+Table3[[#This Row],[تعمیری  نوع 2]]+Table3[[#This Row],[تعمیری  نوع 1]]</f>
        <v>4986</v>
      </c>
      <c r="L5" s="21">
        <v>3664</v>
      </c>
      <c r="M5" s="21">
        <v>2957</v>
      </c>
      <c r="N5" s="21">
        <f>Table3[[#This Row],[ارزیابی کلان‌شهرها  ]]+Table3[[#This Row],[ارزیابی شهر و روستا  ]]</f>
        <v>6621</v>
      </c>
      <c r="O5" s="21">
        <f>Table3[[#This Row],[اعتبار تعمیری (میلیون ریال)  ]]+Table3[[#This Row],[اعتبار احداثی (میلیون ریال)  ]]</f>
        <v>15395000</v>
      </c>
      <c r="P5" s="21">
        <v>2680000</v>
      </c>
      <c r="Q5" s="21">
        <v>12715000</v>
      </c>
      <c r="R5" s="21">
        <v>0</v>
      </c>
      <c r="S5" s="21">
        <v>158</v>
      </c>
      <c r="T5" s="21">
        <v>433</v>
      </c>
      <c r="U5" s="21">
        <v>1989</v>
      </c>
      <c r="V5" s="21">
        <f>Table3[[#This Row],[تعمیرات نوع 3  ]]+Table3[[#This Row],[تعمیرات نوع 2  ]]+Table3[[#This Row],[تعمیرات نوع 1]]</f>
        <v>2580</v>
      </c>
      <c r="W5" s="21">
        <v>189</v>
      </c>
      <c r="X5" s="21">
        <v>189</v>
      </c>
      <c r="Y5" s="24">
        <v>116.6</v>
      </c>
      <c r="Z5" s="20">
        <v>92</v>
      </c>
      <c r="AA5" s="20">
        <v>0</v>
      </c>
      <c r="AB5" s="20">
        <v>83</v>
      </c>
      <c r="AC5" s="20">
        <v>0</v>
      </c>
    </row>
    <row r="6" spans="1:29" s="20" customFormat="1" ht="20.25" x14ac:dyDescent="0.2">
      <c r="A6" s="21">
        <v>4</v>
      </c>
      <c r="B6" s="21" t="s">
        <v>56</v>
      </c>
      <c r="C6" s="21" t="s">
        <v>84</v>
      </c>
      <c r="D6" s="21">
        <v>13</v>
      </c>
      <c r="E6" s="21">
        <v>20</v>
      </c>
      <c r="F6" s="21">
        <v>356</v>
      </c>
      <c r="G6" s="21">
        <v>4325</v>
      </c>
      <c r="H6" s="21">
        <v>3193</v>
      </c>
      <c r="I6" s="21">
        <v>69</v>
      </c>
      <c r="J6" s="21">
        <v>3393</v>
      </c>
      <c r="K6" s="21">
        <f>Table3[[#This Row],[تعمیری  نوع 3]]+Table3[[#This Row],[تعمیری  نوع 2]]+Table3[[#This Row],[تعمیری  نوع 1]]</f>
        <v>7874</v>
      </c>
      <c r="L6" s="21">
        <v>10265</v>
      </c>
      <c r="M6" s="21">
        <v>1071</v>
      </c>
      <c r="N6" s="21">
        <f>Table3[[#This Row],[ارزیابی کلان‌شهرها  ]]+Table3[[#This Row],[ارزیابی شهر و روستا  ]]</f>
        <v>11336</v>
      </c>
      <c r="O6" s="21">
        <f>Table3[[#This Row],[اعتبار تعمیری (میلیون ریال)  ]]+Table3[[#This Row],[اعتبار احداثی (میلیون ریال)  ]]</f>
        <v>22275900</v>
      </c>
      <c r="P6" s="21">
        <v>1564800</v>
      </c>
      <c r="Q6" s="21">
        <v>20711100</v>
      </c>
      <c r="R6" s="21">
        <v>23</v>
      </c>
      <c r="S6" s="21">
        <v>24</v>
      </c>
      <c r="T6" s="21">
        <v>852</v>
      </c>
      <c r="U6" s="21">
        <v>2680</v>
      </c>
      <c r="V6" s="21">
        <f>Table3[[#This Row],[تعمیرات نوع 3  ]]+Table3[[#This Row],[تعمیرات نوع 2  ]]+Table3[[#This Row],[تعمیرات نوع 1]]</f>
        <v>3556</v>
      </c>
      <c r="W6" s="21">
        <v>138</v>
      </c>
      <c r="X6" s="21">
        <v>128</v>
      </c>
      <c r="Y6" s="24">
        <v>68.099999999999994</v>
      </c>
      <c r="Z6" s="20">
        <v>53</v>
      </c>
      <c r="AA6" s="20">
        <v>31</v>
      </c>
      <c r="AB6" s="20">
        <v>65</v>
      </c>
      <c r="AC6" s="20">
        <v>31</v>
      </c>
    </row>
    <row r="7" spans="1:29" s="20" customFormat="1" ht="20.25" x14ac:dyDescent="0.2">
      <c r="A7" s="21">
        <v>5</v>
      </c>
      <c r="B7" s="21" t="s">
        <v>57</v>
      </c>
      <c r="C7" s="21" t="s">
        <v>84</v>
      </c>
      <c r="D7" s="21">
        <v>4</v>
      </c>
      <c r="E7" s="21">
        <v>7</v>
      </c>
      <c r="F7" s="21">
        <v>213</v>
      </c>
      <c r="G7" s="21">
        <v>122</v>
      </c>
      <c r="H7" s="21">
        <v>130</v>
      </c>
      <c r="I7" s="21">
        <v>12</v>
      </c>
      <c r="J7" s="21">
        <v>158</v>
      </c>
      <c r="K7" s="21">
        <f>Table3[[#This Row],[تعمیری  نوع 3]]+Table3[[#This Row],[تعمیری  نوع 2]]+Table3[[#This Row],[تعمیری  نوع 1]]</f>
        <v>465</v>
      </c>
      <c r="L7" s="21">
        <v>382</v>
      </c>
      <c r="M7" s="21">
        <v>253</v>
      </c>
      <c r="N7" s="21">
        <f>Table3[[#This Row],[ارزیابی کلان‌شهرها  ]]+Table3[[#This Row],[ارزیابی شهر و روستا  ]]</f>
        <v>635</v>
      </c>
      <c r="O7" s="21">
        <f>Table3[[#This Row],[اعتبار تعمیری (میلیون ریال)  ]]+Table3[[#This Row],[اعتبار احداثی (میلیون ریال)  ]]</f>
        <v>2231100</v>
      </c>
      <c r="P7" s="21">
        <v>300000</v>
      </c>
      <c r="Q7" s="21">
        <v>1931100</v>
      </c>
      <c r="R7" s="21">
        <v>4</v>
      </c>
      <c r="S7" s="21">
        <v>25</v>
      </c>
      <c r="T7" s="21">
        <v>34</v>
      </c>
      <c r="U7" s="21">
        <v>72</v>
      </c>
      <c r="V7" s="21">
        <f>Table3[[#This Row],[تعمیرات نوع 3  ]]+Table3[[#This Row],[تعمیرات نوع 2  ]]+Table3[[#This Row],[تعمیرات نوع 1]]</f>
        <v>131</v>
      </c>
      <c r="W7" s="21">
        <v>68</v>
      </c>
      <c r="X7" s="21">
        <v>60</v>
      </c>
      <c r="Y7" s="24">
        <v>36</v>
      </c>
      <c r="Z7" s="20">
        <v>9</v>
      </c>
      <c r="AA7" s="20">
        <v>9</v>
      </c>
      <c r="AB7" s="20">
        <v>9</v>
      </c>
      <c r="AC7" s="20">
        <v>9</v>
      </c>
    </row>
    <row r="8" spans="1:29" s="20" customFormat="1" ht="20.25" x14ac:dyDescent="0.2">
      <c r="A8" s="21">
        <v>6</v>
      </c>
      <c r="B8" s="21" t="s">
        <v>58</v>
      </c>
      <c r="C8" s="21" t="s">
        <v>84</v>
      </c>
      <c r="D8" s="21">
        <v>1</v>
      </c>
      <c r="E8" s="21">
        <v>3</v>
      </c>
      <c r="F8" s="21">
        <v>243</v>
      </c>
      <c r="G8" s="21">
        <v>1171</v>
      </c>
      <c r="H8" s="21">
        <v>1067</v>
      </c>
      <c r="I8" s="21">
        <v>26</v>
      </c>
      <c r="J8" s="21">
        <v>598</v>
      </c>
      <c r="K8" s="21">
        <f>Table3[[#This Row],[تعمیری  نوع 3]]+Table3[[#This Row],[تعمیری  نوع 2]]+Table3[[#This Row],[تعمیری  نوع 1]]</f>
        <v>2481</v>
      </c>
      <c r="L8" s="21">
        <v>63</v>
      </c>
      <c r="M8" s="21">
        <v>3042</v>
      </c>
      <c r="N8" s="21">
        <f>Table3[[#This Row],[ارزیابی کلان‌شهرها  ]]+Table3[[#This Row],[ارزیابی شهر و روستا  ]]</f>
        <v>3105</v>
      </c>
      <c r="O8" s="21">
        <f>Table3[[#This Row],[اعتبار تعمیری (میلیون ریال)  ]]+Table3[[#This Row],[اعتبار احداثی (میلیون ریال)  ]]</f>
        <v>6806700</v>
      </c>
      <c r="P8" s="21">
        <v>650000</v>
      </c>
      <c r="Q8" s="21">
        <v>6156700</v>
      </c>
      <c r="R8" s="21">
        <v>1</v>
      </c>
      <c r="S8" s="21">
        <v>74</v>
      </c>
      <c r="T8" s="21">
        <v>432</v>
      </c>
      <c r="U8" s="21">
        <v>907</v>
      </c>
      <c r="V8" s="21">
        <f>Table3[[#This Row],[تعمیرات نوع 3  ]]+Table3[[#This Row],[تعمیرات نوع 2  ]]+Table3[[#This Row],[تعمیرات نوع 1]]</f>
        <v>1413</v>
      </c>
      <c r="W8" s="21">
        <v>0</v>
      </c>
      <c r="X8" s="21">
        <v>0</v>
      </c>
      <c r="Y8" s="24">
        <v>0</v>
      </c>
      <c r="Z8" s="20">
        <v>0</v>
      </c>
      <c r="AA8" s="20">
        <v>0</v>
      </c>
      <c r="AB8" s="20">
        <v>0</v>
      </c>
      <c r="AC8" s="20">
        <v>0</v>
      </c>
    </row>
    <row r="9" spans="1:29" s="20" customFormat="1" ht="20.25" x14ac:dyDescent="0.2">
      <c r="A9" s="21">
        <v>7</v>
      </c>
      <c r="B9" s="21" t="s">
        <v>59</v>
      </c>
      <c r="C9" s="21" t="s">
        <v>84</v>
      </c>
      <c r="D9" s="21">
        <v>18</v>
      </c>
      <c r="E9" s="21">
        <v>9</v>
      </c>
      <c r="F9" s="21">
        <v>455</v>
      </c>
      <c r="G9" s="21">
        <v>1367</v>
      </c>
      <c r="H9" s="21">
        <v>13044</v>
      </c>
      <c r="I9" s="21">
        <v>168</v>
      </c>
      <c r="J9" s="21">
        <v>2677</v>
      </c>
      <c r="K9" s="21">
        <f>Table3[[#This Row],[تعمیری  نوع 3]]+Table3[[#This Row],[تعمیری  نوع 2]]+Table3[[#This Row],[تعمیری  نوع 1]]</f>
        <v>14866</v>
      </c>
      <c r="L9" s="21">
        <v>13036</v>
      </c>
      <c r="M9" s="21">
        <v>4675</v>
      </c>
      <c r="N9" s="21">
        <f>Table3[[#This Row],[ارزیابی کلان‌شهرها  ]]+Table3[[#This Row],[ارزیابی شهر و روستا  ]]</f>
        <v>17711</v>
      </c>
      <c r="O9" s="21">
        <f>Table3[[#This Row],[اعتبار تعمیری (میلیون ریال)  ]]+Table3[[#This Row],[اعتبار احداثی (میلیون ریال)  ]]</f>
        <v>19031900</v>
      </c>
      <c r="P9" s="21">
        <v>3968600</v>
      </c>
      <c r="Q9" s="21">
        <v>15063300</v>
      </c>
      <c r="R9" s="21">
        <v>105</v>
      </c>
      <c r="S9" s="21">
        <v>166</v>
      </c>
      <c r="T9" s="21">
        <v>683</v>
      </c>
      <c r="U9" s="21">
        <v>10170</v>
      </c>
      <c r="V9" s="21">
        <f>Table3[[#This Row],[تعمیرات نوع 3  ]]+Table3[[#This Row],[تعمیرات نوع 2  ]]+Table3[[#This Row],[تعمیرات نوع 1]]</f>
        <v>11019</v>
      </c>
      <c r="W9" s="21">
        <v>497</v>
      </c>
      <c r="X9" s="21">
        <v>477</v>
      </c>
      <c r="Y9" s="24">
        <v>297.5</v>
      </c>
      <c r="Z9" s="20">
        <v>167</v>
      </c>
      <c r="AA9" s="20">
        <v>37</v>
      </c>
      <c r="AB9" s="20">
        <v>168</v>
      </c>
      <c r="AC9" s="20">
        <v>30</v>
      </c>
    </row>
    <row r="10" spans="1:29" s="20" customFormat="1" ht="20.25" x14ac:dyDescent="0.2">
      <c r="A10" s="21">
        <v>8</v>
      </c>
      <c r="B10" s="21" t="s">
        <v>60</v>
      </c>
      <c r="C10" s="21" t="s">
        <v>84</v>
      </c>
      <c r="D10" s="21">
        <v>16</v>
      </c>
      <c r="E10" s="21">
        <v>3</v>
      </c>
      <c r="F10" s="21">
        <v>468</v>
      </c>
      <c r="G10" s="21">
        <v>5134</v>
      </c>
      <c r="H10" s="21">
        <v>5164</v>
      </c>
      <c r="I10" s="21">
        <v>182</v>
      </c>
      <c r="J10" s="21">
        <v>3812</v>
      </c>
      <c r="K10" s="21">
        <f>Table3[[#This Row],[تعمیری  نوع 3]]+Table3[[#This Row],[تعمیری  نوع 2]]+Table3[[#This Row],[تعمیری  نوع 1]]</f>
        <v>10766</v>
      </c>
      <c r="L10" s="21">
        <v>14760</v>
      </c>
      <c r="M10" s="21">
        <v>0</v>
      </c>
      <c r="N10" s="21">
        <f>Table3[[#This Row],[ارزیابی کلان‌شهرها  ]]+Table3[[#This Row],[ارزیابی شهر و روستا  ]]</f>
        <v>14760</v>
      </c>
      <c r="O10" s="21">
        <f>Table3[[#This Row],[اعتبار تعمیری (میلیون ریال)  ]]+Table3[[#This Row],[اعتبار احداثی (میلیون ریال)  ]]</f>
        <v>29227900</v>
      </c>
      <c r="P10" s="21">
        <v>4069400</v>
      </c>
      <c r="Q10" s="21">
        <v>25158500</v>
      </c>
      <c r="R10" s="21">
        <v>47</v>
      </c>
      <c r="S10" s="21">
        <v>290</v>
      </c>
      <c r="T10" s="21">
        <v>3494</v>
      </c>
      <c r="U10" s="21">
        <v>4789</v>
      </c>
      <c r="V10" s="21">
        <f>Table3[[#This Row],[تعمیرات نوع 3  ]]+Table3[[#This Row],[تعمیرات نوع 2  ]]+Table3[[#This Row],[تعمیرات نوع 1]]</f>
        <v>8573</v>
      </c>
      <c r="W10" s="21">
        <v>309</v>
      </c>
      <c r="X10" s="21">
        <v>279</v>
      </c>
      <c r="Y10" s="24">
        <v>154</v>
      </c>
      <c r="Z10" s="20">
        <v>182</v>
      </c>
      <c r="AA10" s="20">
        <v>8</v>
      </c>
      <c r="AB10" s="20">
        <v>123</v>
      </c>
      <c r="AC10" s="20">
        <v>4</v>
      </c>
    </row>
    <row r="11" spans="1:29" s="20" customFormat="1" ht="20.25" x14ac:dyDescent="0.2">
      <c r="A11" s="21">
        <v>9</v>
      </c>
      <c r="B11" s="21" t="s">
        <v>61</v>
      </c>
      <c r="C11" s="21" t="s">
        <v>84</v>
      </c>
      <c r="D11" s="21">
        <v>13</v>
      </c>
      <c r="E11" s="21">
        <v>3</v>
      </c>
      <c r="F11" s="21">
        <v>727</v>
      </c>
      <c r="G11" s="21">
        <v>1364</v>
      </c>
      <c r="H11" s="21">
        <v>7159</v>
      </c>
      <c r="I11" s="21">
        <v>78</v>
      </c>
      <c r="J11" s="21">
        <v>3009</v>
      </c>
      <c r="K11" s="21">
        <f>Table3[[#This Row],[تعمیری  نوع 3]]+Table3[[#This Row],[تعمیری  نوع 2]]+Table3[[#This Row],[تعمیری  نوع 1]]</f>
        <v>9250</v>
      </c>
      <c r="L11" s="21">
        <v>12337</v>
      </c>
      <c r="M11" s="21">
        <v>0</v>
      </c>
      <c r="N11" s="21">
        <f>Table3[[#This Row],[ارزیابی کلان‌شهرها  ]]+Table3[[#This Row],[ارزیابی شهر و روستا  ]]</f>
        <v>12337</v>
      </c>
      <c r="O11" s="21">
        <f>Table3[[#This Row],[اعتبار تعمیری (میلیون ریال)  ]]+Table3[[#This Row],[اعتبار احداثی (میلیون ریال)  ]]</f>
        <v>14961400</v>
      </c>
      <c r="P11" s="21">
        <v>1576200</v>
      </c>
      <c r="Q11" s="21">
        <v>13385200</v>
      </c>
      <c r="R11" s="21">
        <v>40</v>
      </c>
      <c r="S11" s="21">
        <v>199</v>
      </c>
      <c r="T11" s="21">
        <v>377</v>
      </c>
      <c r="U11" s="21">
        <v>2028</v>
      </c>
      <c r="V11" s="21">
        <f>Table3[[#This Row],[تعمیرات نوع 3  ]]+Table3[[#This Row],[تعمیرات نوع 2  ]]+Table3[[#This Row],[تعمیرات نوع 1]]</f>
        <v>2604</v>
      </c>
      <c r="W11" s="21">
        <v>107</v>
      </c>
      <c r="X11" s="21">
        <v>95</v>
      </c>
      <c r="Y11" s="24">
        <v>44.7</v>
      </c>
      <c r="Z11" s="20">
        <v>78</v>
      </c>
      <c r="AA11" s="20">
        <v>15</v>
      </c>
      <c r="AB11" s="20">
        <v>78</v>
      </c>
      <c r="AC11" s="20">
        <v>12</v>
      </c>
    </row>
    <row r="12" spans="1:29" s="20" customFormat="1" ht="20.25" x14ac:dyDescent="0.2">
      <c r="A12" s="21">
        <v>10</v>
      </c>
      <c r="B12" s="21" t="s">
        <v>62</v>
      </c>
      <c r="C12" s="21" t="s">
        <v>84</v>
      </c>
      <c r="D12" s="21">
        <v>8</v>
      </c>
      <c r="E12" s="21">
        <v>13</v>
      </c>
      <c r="F12" s="21">
        <v>14</v>
      </c>
      <c r="G12" s="21">
        <v>3562</v>
      </c>
      <c r="H12" s="21">
        <v>2694</v>
      </c>
      <c r="I12" s="21">
        <v>2</v>
      </c>
      <c r="J12" s="21">
        <v>1722</v>
      </c>
      <c r="K12" s="21">
        <f>Table3[[#This Row],[تعمیری  نوع 3]]+Table3[[#This Row],[تعمیری  نوع 2]]+Table3[[#This Row],[تعمیری  نوع 1]]</f>
        <v>6270</v>
      </c>
      <c r="L12" s="21">
        <v>7994</v>
      </c>
      <c r="M12" s="21">
        <v>0</v>
      </c>
      <c r="N12" s="21">
        <f>Table3[[#This Row],[ارزیابی کلان‌شهرها  ]]+Table3[[#This Row],[ارزیابی شهر و روستا  ]]</f>
        <v>7994</v>
      </c>
      <c r="O12" s="21">
        <f>Table3[[#This Row],[اعتبار تعمیری (میلیون ریال)  ]]+Table3[[#This Row],[اعتبار احداثی (میلیون ریال)  ]]</f>
        <v>14821200</v>
      </c>
      <c r="P12" s="21">
        <v>50000</v>
      </c>
      <c r="Q12" s="21">
        <v>14771200</v>
      </c>
      <c r="R12" s="21">
        <v>0</v>
      </c>
      <c r="S12" s="21">
        <v>4</v>
      </c>
      <c r="T12" s="21">
        <v>2268</v>
      </c>
      <c r="U12" s="21">
        <v>2135</v>
      </c>
      <c r="V12" s="21">
        <f>Table3[[#This Row],[تعمیرات نوع 3  ]]+Table3[[#This Row],[تعمیرات نوع 2  ]]+Table3[[#This Row],[تعمیرات نوع 1]]</f>
        <v>4407</v>
      </c>
      <c r="W12" s="21">
        <v>6</v>
      </c>
      <c r="X12" s="21">
        <v>6</v>
      </c>
      <c r="Y12" s="24">
        <v>4.2</v>
      </c>
      <c r="Z12" s="20">
        <v>8</v>
      </c>
      <c r="AA12" s="20">
        <v>0</v>
      </c>
      <c r="AB12" s="20">
        <v>2</v>
      </c>
      <c r="AC12" s="20">
        <v>0</v>
      </c>
    </row>
    <row r="13" spans="1:29" s="20" customFormat="1" ht="20.25" x14ac:dyDescent="0.2">
      <c r="A13" s="21">
        <v>11</v>
      </c>
      <c r="B13" s="21" t="s">
        <v>63</v>
      </c>
      <c r="C13" s="21" t="s">
        <v>84</v>
      </c>
      <c r="D13" s="21">
        <v>3</v>
      </c>
      <c r="E13" s="21">
        <v>3</v>
      </c>
      <c r="F13" s="21">
        <v>94</v>
      </c>
      <c r="G13" s="21">
        <v>433</v>
      </c>
      <c r="H13" s="21">
        <v>1068</v>
      </c>
      <c r="I13" s="21">
        <v>28</v>
      </c>
      <c r="J13" s="21">
        <v>219</v>
      </c>
      <c r="K13" s="21">
        <f>Table3[[#This Row],[تعمیری  نوع 3]]+Table3[[#This Row],[تعمیری  نوع 2]]+Table3[[#This Row],[تعمیری  نوع 1]]</f>
        <v>1595</v>
      </c>
      <c r="L13" s="21">
        <v>1842</v>
      </c>
      <c r="M13" s="21">
        <v>0</v>
      </c>
      <c r="N13" s="21">
        <f>Table3[[#This Row],[ارزیابی کلان‌شهرها  ]]+Table3[[#This Row],[ارزیابی شهر و روستا  ]]</f>
        <v>1842</v>
      </c>
      <c r="O13" s="21">
        <f>Table3[[#This Row],[اعتبار تعمیری (میلیون ریال)  ]]+Table3[[#This Row],[اعتبار احداثی (میلیون ریال)  ]]</f>
        <v>3204400</v>
      </c>
      <c r="P13" s="21">
        <v>539800</v>
      </c>
      <c r="Q13" s="21">
        <v>2664600</v>
      </c>
      <c r="R13" s="21">
        <v>7</v>
      </c>
      <c r="S13" s="21">
        <v>34</v>
      </c>
      <c r="T13" s="21">
        <v>298</v>
      </c>
      <c r="U13" s="21">
        <v>657</v>
      </c>
      <c r="V13" s="21">
        <f>Table3[[#This Row],[تعمیرات نوع 3  ]]+Table3[[#This Row],[تعمیرات نوع 2  ]]+Table3[[#This Row],[تعمیرات نوع 1]]</f>
        <v>989</v>
      </c>
      <c r="W13" s="21">
        <v>29</v>
      </c>
      <c r="X13" s="21">
        <v>24</v>
      </c>
      <c r="Y13" s="24">
        <v>16.8</v>
      </c>
      <c r="Z13" s="20">
        <v>36</v>
      </c>
      <c r="AA13" s="20">
        <v>9</v>
      </c>
      <c r="AB13" s="20">
        <v>36</v>
      </c>
      <c r="AC13" s="20">
        <v>4</v>
      </c>
    </row>
    <row r="14" spans="1:29" s="20" customFormat="1" ht="20.25" x14ac:dyDescent="0.2">
      <c r="A14" s="21">
        <v>12</v>
      </c>
      <c r="B14" s="21" t="s">
        <v>64</v>
      </c>
      <c r="C14" s="21" t="s">
        <v>84</v>
      </c>
      <c r="D14" s="21">
        <v>4</v>
      </c>
      <c r="E14" s="21">
        <v>4</v>
      </c>
      <c r="F14" s="21">
        <v>37</v>
      </c>
      <c r="G14" s="21">
        <v>217</v>
      </c>
      <c r="H14" s="21">
        <v>497</v>
      </c>
      <c r="I14" s="21">
        <v>20</v>
      </c>
      <c r="J14" s="21">
        <v>379</v>
      </c>
      <c r="K14" s="21">
        <f>Table3[[#This Row],[تعمیری  نوع 3]]+Table3[[#This Row],[تعمیری  نوع 2]]+Table3[[#This Row],[تعمیری  نوع 1]]</f>
        <v>751</v>
      </c>
      <c r="L14" s="21">
        <v>1150</v>
      </c>
      <c r="M14" s="21">
        <v>0</v>
      </c>
      <c r="N14" s="21">
        <f>Table3[[#This Row],[ارزیابی کلان‌شهرها  ]]+Table3[[#This Row],[ارزیابی شهر و روستا  ]]</f>
        <v>1150</v>
      </c>
      <c r="O14" s="21">
        <f>Table3[[#This Row],[اعتبار تعمیری (میلیون ریال)  ]]+Table3[[#This Row],[اعتبار احداثی (میلیون ریال)  ]]</f>
        <v>1746100</v>
      </c>
      <c r="P14" s="21">
        <v>482200</v>
      </c>
      <c r="Q14" s="21">
        <v>1263900</v>
      </c>
      <c r="R14" s="21">
        <v>20</v>
      </c>
      <c r="S14" s="21">
        <v>20</v>
      </c>
      <c r="T14" s="21">
        <v>125</v>
      </c>
      <c r="U14" s="21">
        <v>497</v>
      </c>
      <c r="V14" s="21">
        <f>Table3[[#This Row],[تعمیرات نوع 3  ]]+Table3[[#This Row],[تعمیرات نوع 2  ]]+Table3[[#This Row],[تعمیرات نوع 1]]</f>
        <v>642</v>
      </c>
      <c r="W14" s="21">
        <v>29</v>
      </c>
      <c r="X14" s="21">
        <v>27</v>
      </c>
      <c r="Y14" s="24">
        <v>12</v>
      </c>
      <c r="Z14" s="20">
        <v>20</v>
      </c>
      <c r="AA14" s="20">
        <v>19</v>
      </c>
      <c r="AB14" s="20">
        <v>20</v>
      </c>
      <c r="AC14" s="20">
        <v>19</v>
      </c>
    </row>
    <row r="15" spans="1:29" s="20" customFormat="1" ht="20.25" x14ac:dyDescent="0.2">
      <c r="A15" s="21">
        <v>13</v>
      </c>
      <c r="B15" s="21" t="s">
        <v>65</v>
      </c>
      <c r="C15" s="21" t="s">
        <v>84</v>
      </c>
      <c r="D15" s="21">
        <v>16</v>
      </c>
      <c r="E15" s="21">
        <v>11</v>
      </c>
      <c r="F15" s="21">
        <v>666</v>
      </c>
      <c r="G15" s="21">
        <v>3519</v>
      </c>
      <c r="H15" s="21">
        <v>8819</v>
      </c>
      <c r="I15" s="21">
        <v>149</v>
      </c>
      <c r="J15" s="21">
        <v>2953</v>
      </c>
      <c r="K15" s="21">
        <f>Table3[[#This Row],[تعمیری  نوع 3]]+Table3[[#This Row],[تعمیری  نوع 2]]+Table3[[#This Row],[تعمیری  نوع 1]]</f>
        <v>13004</v>
      </c>
      <c r="L15" s="21">
        <v>16106</v>
      </c>
      <c r="M15" s="21">
        <v>0</v>
      </c>
      <c r="N15" s="21">
        <f>Table3[[#This Row],[ارزیابی کلان‌شهرها  ]]+Table3[[#This Row],[ارزیابی شهر و روستا  ]]</f>
        <v>16106</v>
      </c>
      <c r="O15" s="21">
        <f>Table3[[#This Row],[اعتبار تعمیری (میلیون ریال)  ]]+Table3[[#This Row],[اعتبار احداثی (میلیون ریال)  ]]</f>
        <v>25029100</v>
      </c>
      <c r="P15" s="21">
        <v>2852800</v>
      </c>
      <c r="Q15" s="21">
        <v>22176300</v>
      </c>
      <c r="R15" s="21">
        <v>64</v>
      </c>
      <c r="S15" s="21">
        <v>204</v>
      </c>
      <c r="T15" s="21">
        <v>1278</v>
      </c>
      <c r="U15" s="21">
        <v>6605</v>
      </c>
      <c r="V15" s="21">
        <f>Table3[[#This Row],[تعمیرات نوع 3  ]]+Table3[[#This Row],[تعمیرات نوع 2  ]]+Table3[[#This Row],[تعمیرات نوع 1]]</f>
        <v>8087</v>
      </c>
      <c r="W15" s="21">
        <v>193</v>
      </c>
      <c r="X15" s="21">
        <v>175</v>
      </c>
      <c r="Y15" s="24">
        <v>103.8</v>
      </c>
      <c r="Z15" s="20">
        <v>154</v>
      </c>
      <c r="AA15" s="20">
        <v>8</v>
      </c>
      <c r="AB15" s="20">
        <v>83</v>
      </c>
      <c r="AC15" s="20">
        <v>8</v>
      </c>
    </row>
    <row r="16" spans="1:29" s="20" customFormat="1" ht="20.25" x14ac:dyDescent="0.2">
      <c r="A16" s="21">
        <v>14</v>
      </c>
      <c r="B16" s="21" t="s">
        <v>66</v>
      </c>
      <c r="C16" s="21" t="s">
        <v>84</v>
      </c>
      <c r="D16" s="21">
        <v>20</v>
      </c>
      <c r="E16" s="21">
        <v>13</v>
      </c>
      <c r="F16" s="21">
        <v>561</v>
      </c>
      <c r="G16" s="21">
        <v>3378</v>
      </c>
      <c r="H16" s="21">
        <v>3096</v>
      </c>
      <c r="I16" s="21">
        <v>135</v>
      </c>
      <c r="J16" s="21">
        <v>2140</v>
      </c>
      <c r="K16" s="21">
        <f>Table3[[#This Row],[تعمیری  نوع 3]]+Table3[[#This Row],[تعمیری  نوع 2]]+Table3[[#This Row],[تعمیری  نوع 1]]</f>
        <v>7035</v>
      </c>
      <c r="L16" s="21">
        <v>9310</v>
      </c>
      <c r="M16" s="21">
        <v>0</v>
      </c>
      <c r="N16" s="21">
        <f>Table3[[#This Row],[ارزیابی کلان‌شهرها  ]]+Table3[[#This Row],[ارزیابی شهر و روستا  ]]</f>
        <v>9310</v>
      </c>
      <c r="O16" s="21">
        <f>Table3[[#This Row],[اعتبار تعمیری (میلیون ریال)  ]]+Table3[[#This Row],[اعتبار احداثی (میلیون ریال)  ]]</f>
        <v>20720800</v>
      </c>
      <c r="P16" s="21">
        <v>3072400</v>
      </c>
      <c r="Q16" s="21">
        <v>17648400</v>
      </c>
      <c r="R16" s="21">
        <v>26</v>
      </c>
      <c r="S16" s="21">
        <v>82</v>
      </c>
      <c r="T16" s="21">
        <v>85</v>
      </c>
      <c r="U16" s="21">
        <v>1020</v>
      </c>
      <c r="V16" s="21">
        <f>Table3[[#This Row],[تعمیرات نوع 3  ]]+Table3[[#This Row],[تعمیرات نوع 2  ]]+Table3[[#This Row],[تعمیرات نوع 1]]</f>
        <v>1187</v>
      </c>
      <c r="W16" s="21">
        <v>250</v>
      </c>
      <c r="X16" s="21">
        <v>227</v>
      </c>
      <c r="Y16" s="24">
        <v>141.5</v>
      </c>
      <c r="Z16" s="20">
        <v>159</v>
      </c>
      <c r="AA16" s="20">
        <v>18</v>
      </c>
      <c r="AB16" s="20">
        <v>128</v>
      </c>
      <c r="AC16" s="20">
        <v>18</v>
      </c>
    </row>
    <row r="17" spans="1:29" s="20" customFormat="1" ht="20.25" x14ac:dyDescent="0.2">
      <c r="A17" s="21">
        <v>15</v>
      </c>
      <c r="B17" s="21" t="s">
        <v>67</v>
      </c>
      <c r="C17" s="21" t="s">
        <v>84</v>
      </c>
      <c r="D17" s="21">
        <v>3</v>
      </c>
      <c r="E17" s="21">
        <v>6</v>
      </c>
      <c r="F17" s="21">
        <v>212</v>
      </c>
      <c r="G17" s="21">
        <v>1169</v>
      </c>
      <c r="H17" s="21">
        <v>1760</v>
      </c>
      <c r="I17" s="21">
        <v>57</v>
      </c>
      <c r="J17" s="21">
        <v>985</v>
      </c>
      <c r="K17" s="21">
        <f>Table3[[#This Row],[تعمیری  نوع 3]]+Table3[[#This Row],[تعمیری  نوع 2]]+Table3[[#This Row],[تعمیری  نوع 1]]</f>
        <v>3141</v>
      </c>
      <c r="L17" s="21">
        <v>4183</v>
      </c>
      <c r="M17" s="21">
        <v>0</v>
      </c>
      <c r="N17" s="21">
        <f>Table3[[#This Row],[ارزیابی کلان‌شهرها  ]]+Table3[[#This Row],[ارزیابی شهر و روستا  ]]</f>
        <v>4183</v>
      </c>
      <c r="O17" s="21">
        <f>Table3[[#This Row],[اعتبار تعمیری (میلیون ریال)  ]]+Table3[[#This Row],[اعتبار احداثی (میلیون ریال)  ]]</f>
        <v>8231100</v>
      </c>
      <c r="P17" s="21">
        <v>1407200</v>
      </c>
      <c r="Q17" s="21">
        <v>6823900</v>
      </c>
      <c r="R17" s="21">
        <v>28</v>
      </c>
      <c r="S17" s="21">
        <v>45</v>
      </c>
      <c r="T17" s="21">
        <v>103</v>
      </c>
      <c r="U17" s="21">
        <v>1501</v>
      </c>
      <c r="V17" s="21">
        <f>Table3[[#This Row],[تعمیرات نوع 3  ]]+Table3[[#This Row],[تعمیرات نوع 2  ]]+Table3[[#This Row],[تعمیرات نوع 1]]</f>
        <v>1649</v>
      </c>
      <c r="W17" s="21">
        <v>114</v>
      </c>
      <c r="X17" s="21">
        <v>104</v>
      </c>
      <c r="Y17" s="24">
        <v>67.900000000000006</v>
      </c>
      <c r="Z17" s="20">
        <v>97</v>
      </c>
      <c r="AA17" s="20">
        <v>42</v>
      </c>
      <c r="AB17" s="20">
        <v>63</v>
      </c>
      <c r="AC17" s="20">
        <v>12</v>
      </c>
    </row>
    <row r="18" spans="1:29" s="20" customFormat="1" ht="20.25" x14ac:dyDescent="0.2">
      <c r="A18" s="21">
        <v>16</v>
      </c>
      <c r="B18" s="21" t="s">
        <v>68</v>
      </c>
      <c r="C18" s="21" t="s">
        <v>84</v>
      </c>
      <c r="D18" s="21">
        <v>8</v>
      </c>
      <c r="E18" s="21">
        <v>9</v>
      </c>
      <c r="F18" s="21">
        <v>118</v>
      </c>
      <c r="G18" s="21">
        <v>1101</v>
      </c>
      <c r="H18" s="21">
        <v>795</v>
      </c>
      <c r="I18" s="21">
        <v>36</v>
      </c>
      <c r="J18" s="21">
        <v>458</v>
      </c>
      <c r="K18" s="21">
        <f>Table3[[#This Row],[تعمیری  نوع 3]]+Table3[[#This Row],[تعمیری  نوع 2]]+Table3[[#This Row],[تعمیری  نوع 1]]</f>
        <v>2014</v>
      </c>
      <c r="L18" s="21">
        <v>2508</v>
      </c>
      <c r="M18" s="21">
        <v>0</v>
      </c>
      <c r="N18" s="21">
        <f>Table3[[#This Row],[ارزیابی کلان‌شهرها  ]]+Table3[[#This Row],[ارزیابی شهر و روستا  ]]</f>
        <v>2508</v>
      </c>
      <c r="O18" s="21">
        <f>Table3[[#This Row],[اعتبار تعمیری (میلیون ریال)  ]]+Table3[[#This Row],[اعتبار احداثی (میلیون ریال)  ]]</f>
        <v>5734400</v>
      </c>
      <c r="P18" s="21">
        <v>811000</v>
      </c>
      <c r="Q18" s="21">
        <v>4923400</v>
      </c>
      <c r="R18" s="21">
        <v>8</v>
      </c>
      <c r="S18" s="21">
        <v>44</v>
      </c>
      <c r="T18" s="21">
        <v>1071</v>
      </c>
      <c r="U18" s="21">
        <v>789</v>
      </c>
      <c r="V18" s="21">
        <f>Table3[[#This Row],[تعمیرات نوع 3  ]]+Table3[[#This Row],[تعمیرات نوع 2  ]]+Table3[[#This Row],[تعمیرات نوع 1]]</f>
        <v>1904</v>
      </c>
      <c r="W18" s="21">
        <v>80</v>
      </c>
      <c r="X18" s="21">
        <v>78</v>
      </c>
      <c r="Y18" s="24">
        <v>48.2</v>
      </c>
      <c r="Z18" s="20">
        <v>36</v>
      </c>
      <c r="AA18" s="20">
        <v>11</v>
      </c>
      <c r="AB18" s="20">
        <v>36</v>
      </c>
      <c r="AC18" s="20">
        <v>7</v>
      </c>
    </row>
    <row r="19" spans="1:29" s="20" customFormat="1" ht="20.25" x14ac:dyDescent="0.2">
      <c r="A19" s="21">
        <v>17</v>
      </c>
      <c r="B19" s="21" t="s">
        <v>69</v>
      </c>
      <c r="C19" s="21" t="s">
        <v>84</v>
      </c>
      <c r="D19" s="21">
        <v>18</v>
      </c>
      <c r="E19" s="21">
        <v>31</v>
      </c>
      <c r="F19" s="21">
        <v>557</v>
      </c>
      <c r="G19" s="21">
        <v>4178</v>
      </c>
      <c r="H19" s="21">
        <v>5543</v>
      </c>
      <c r="I19" s="21">
        <v>141</v>
      </c>
      <c r="J19" s="21">
        <v>2757</v>
      </c>
      <c r="K19" s="21">
        <f>Table3[[#This Row],[تعمیری  نوع 3]]+Table3[[#This Row],[تعمیری  نوع 2]]+Table3[[#This Row],[تعمیری  نوع 1]]</f>
        <v>10278</v>
      </c>
      <c r="L19" s="21">
        <v>13176</v>
      </c>
      <c r="M19" s="21">
        <v>0</v>
      </c>
      <c r="N19" s="21">
        <f>Table3[[#This Row],[ارزیابی کلان‌شهرها  ]]+Table3[[#This Row],[ارزیابی شهر و روستا  ]]</f>
        <v>13176</v>
      </c>
      <c r="O19" s="21">
        <f>Table3[[#This Row],[اعتبار تعمیری (میلیون ریال)  ]]+Table3[[#This Row],[اعتبار احداثی (میلیون ریال)  ]]</f>
        <v>25459100</v>
      </c>
      <c r="P19" s="21">
        <v>3400400</v>
      </c>
      <c r="Q19" s="21">
        <v>22058700</v>
      </c>
      <c r="R19" s="21">
        <v>0</v>
      </c>
      <c r="S19" s="21">
        <v>312</v>
      </c>
      <c r="T19" s="21">
        <v>1886</v>
      </c>
      <c r="U19" s="21">
        <v>5493</v>
      </c>
      <c r="V19" s="21">
        <f>Table3[[#This Row],[تعمیرات نوع 3  ]]+Table3[[#This Row],[تعمیرات نوع 2  ]]+Table3[[#This Row],[تعمیرات نوع 1]]</f>
        <v>7691</v>
      </c>
      <c r="W19" s="21">
        <v>511</v>
      </c>
      <c r="X19" s="21">
        <v>412</v>
      </c>
      <c r="Y19" s="24">
        <v>180.4</v>
      </c>
      <c r="Z19" s="20">
        <v>141</v>
      </c>
      <c r="AA19" s="20">
        <v>78</v>
      </c>
      <c r="AB19" s="20">
        <v>139</v>
      </c>
      <c r="AC19" s="20">
        <v>36</v>
      </c>
    </row>
    <row r="20" spans="1:29" s="20" customFormat="1" ht="20.25" x14ac:dyDescent="0.2">
      <c r="A20" s="21">
        <v>18</v>
      </c>
      <c r="B20" s="21" t="s">
        <v>70</v>
      </c>
      <c r="C20" s="21" t="s">
        <v>84</v>
      </c>
      <c r="D20" s="21">
        <v>2</v>
      </c>
      <c r="E20" s="21">
        <v>0</v>
      </c>
      <c r="F20" s="21">
        <v>3</v>
      </c>
      <c r="G20" s="21">
        <v>126</v>
      </c>
      <c r="H20" s="21">
        <v>71</v>
      </c>
      <c r="I20" s="21">
        <v>0</v>
      </c>
      <c r="J20" s="21">
        <v>24</v>
      </c>
      <c r="K20" s="21">
        <f>Table3[[#This Row],[تعمیری  نوع 3]]+Table3[[#This Row],[تعمیری  نوع 2]]+Table3[[#This Row],[تعمیری  نوع 1]]</f>
        <v>200</v>
      </c>
      <c r="L20" s="21">
        <v>224</v>
      </c>
      <c r="M20" s="21">
        <v>0</v>
      </c>
      <c r="N20" s="21">
        <f>Table3[[#This Row],[ارزیابی کلان‌شهرها  ]]+Table3[[#This Row],[ارزیابی شهر و روستا  ]]</f>
        <v>224</v>
      </c>
      <c r="O20" s="21">
        <f>Table3[[#This Row],[اعتبار تعمیری (میلیون ریال)  ]]+Table3[[#This Row],[اعتبار احداثی (میلیون ریال)  ]]</f>
        <v>544300</v>
      </c>
      <c r="P20" s="21">
        <v>0</v>
      </c>
      <c r="Q20" s="21">
        <v>544300</v>
      </c>
      <c r="R20" s="21">
        <v>0</v>
      </c>
      <c r="S20" s="21">
        <v>1</v>
      </c>
      <c r="T20" s="21">
        <v>81</v>
      </c>
      <c r="U20" s="21">
        <v>39</v>
      </c>
      <c r="V20" s="21">
        <f>Table3[[#This Row],[تعمیرات نوع 3  ]]+Table3[[#This Row],[تعمیرات نوع 2  ]]+Table3[[#This Row],[تعمیرات نوع 1]]</f>
        <v>121</v>
      </c>
      <c r="W20" s="21">
        <v>1</v>
      </c>
      <c r="X20" s="21">
        <v>1</v>
      </c>
      <c r="Y20" s="24">
        <v>0.7</v>
      </c>
      <c r="Z20" s="20">
        <v>0</v>
      </c>
      <c r="AA20" s="20">
        <v>0</v>
      </c>
      <c r="AB20" s="20">
        <v>0</v>
      </c>
      <c r="AC20" s="20">
        <v>0</v>
      </c>
    </row>
    <row r="21" spans="1:29" s="20" customFormat="1" ht="20.25" x14ac:dyDescent="0.2">
      <c r="A21" s="21">
        <v>19</v>
      </c>
      <c r="B21" s="21" t="s">
        <v>70</v>
      </c>
      <c r="C21" s="21" t="s">
        <v>84</v>
      </c>
      <c r="D21" s="21">
        <v>2</v>
      </c>
      <c r="E21" s="21">
        <v>2</v>
      </c>
      <c r="F21" s="21">
        <v>4</v>
      </c>
      <c r="G21" s="21">
        <v>19</v>
      </c>
      <c r="H21" s="21">
        <v>7</v>
      </c>
      <c r="I21" s="21">
        <v>0</v>
      </c>
      <c r="J21" s="21">
        <v>19</v>
      </c>
      <c r="K21" s="21">
        <f>Table3[[#This Row],[تعمیری  نوع 3]]+Table3[[#This Row],[تعمیری  نوع 2]]+Table3[[#This Row],[تعمیری  نوع 1]]</f>
        <v>30</v>
      </c>
      <c r="L21" s="21">
        <v>49</v>
      </c>
      <c r="M21" s="21">
        <v>0</v>
      </c>
      <c r="N21" s="21">
        <f>Table3[[#This Row],[ارزیابی کلان‌شهرها  ]]+Table3[[#This Row],[ارزیابی شهر و روستا  ]]</f>
        <v>49</v>
      </c>
      <c r="O21" s="21">
        <f>Table3[[#This Row],[اعتبار تعمیری (میلیون ریال)  ]]+Table3[[#This Row],[اعتبار احداثی (میلیون ریال)  ]]</f>
        <v>108100</v>
      </c>
      <c r="P21" s="21">
        <v>0</v>
      </c>
      <c r="Q21" s="21">
        <v>108100</v>
      </c>
      <c r="R21" s="21">
        <v>0</v>
      </c>
      <c r="S21" s="21">
        <v>4</v>
      </c>
      <c r="T21" s="21">
        <v>19</v>
      </c>
      <c r="U21" s="21">
        <v>7</v>
      </c>
      <c r="V21" s="21">
        <f>Table3[[#This Row],[تعمیرات نوع 3  ]]+Table3[[#This Row],[تعمیرات نوع 2  ]]+Table3[[#This Row],[تعمیرات نوع 1]]</f>
        <v>30</v>
      </c>
      <c r="W21" s="21">
        <v>0</v>
      </c>
      <c r="X21" s="21">
        <v>0</v>
      </c>
      <c r="Y21" s="24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s="20" customFormat="1" ht="20.25" x14ac:dyDescent="0.2">
      <c r="A22" s="21">
        <v>20</v>
      </c>
      <c r="B22" s="21" t="s">
        <v>71</v>
      </c>
      <c r="C22" s="21" t="s">
        <v>84</v>
      </c>
      <c r="D22" s="21">
        <v>3</v>
      </c>
      <c r="E22" s="21">
        <v>0</v>
      </c>
      <c r="F22" s="21">
        <v>0</v>
      </c>
      <c r="G22" s="21">
        <v>63</v>
      </c>
      <c r="H22" s="21">
        <v>562</v>
      </c>
      <c r="I22" s="21">
        <v>3</v>
      </c>
      <c r="J22" s="21">
        <v>14</v>
      </c>
      <c r="K22" s="21">
        <f>Table3[[#This Row],[تعمیری  نوع 3]]+Table3[[#This Row],[تعمیری  نوع 2]]+Table3[[#This Row],[تعمیری  نوع 1]]</f>
        <v>625</v>
      </c>
      <c r="L22" s="21">
        <v>642</v>
      </c>
      <c r="M22" s="21">
        <v>0</v>
      </c>
      <c r="N22" s="21">
        <f>Table3[[#This Row],[ارزیابی کلان‌شهرها  ]]+Table3[[#This Row],[ارزیابی شهر و روستا  ]]</f>
        <v>642</v>
      </c>
      <c r="O22" s="21">
        <f>Table3[[#This Row],[اعتبار تعمیری (میلیون ریال)  ]]+Table3[[#This Row],[اعتبار احداثی (میلیون ریال)  ]]</f>
        <v>532900</v>
      </c>
      <c r="P22" s="21">
        <v>21600</v>
      </c>
      <c r="Q22" s="21">
        <v>511300</v>
      </c>
      <c r="R22" s="21">
        <v>0</v>
      </c>
      <c r="S22" s="21">
        <v>0</v>
      </c>
      <c r="T22" s="21">
        <v>66</v>
      </c>
      <c r="U22" s="21">
        <v>295</v>
      </c>
      <c r="V22" s="21">
        <f>Table3[[#This Row],[تعمیرات نوع 3  ]]+Table3[[#This Row],[تعمیرات نوع 2  ]]+Table3[[#This Row],[تعمیرات نوع 1]]</f>
        <v>361</v>
      </c>
      <c r="W22" s="21">
        <v>0</v>
      </c>
      <c r="X22" s="21">
        <v>0</v>
      </c>
      <c r="Y22" s="24">
        <v>0</v>
      </c>
      <c r="Z22" s="20">
        <v>3</v>
      </c>
      <c r="AA22" s="20">
        <v>0</v>
      </c>
      <c r="AB22" s="20">
        <v>0</v>
      </c>
      <c r="AC22" s="20">
        <v>0</v>
      </c>
    </row>
    <row r="23" spans="1:29" s="20" customFormat="1" ht="20.25" x14ac:dyDescent="0.2">
      <c r="A23" s="21">
        <v>21</v>
      </c>
      <c r="B23" s="21" t="s">
        <v>72</v>
      </c>
      <c r="C23" s="21" t="s">
        <v>84</v>
      </c>
      <c r="D23" s="21">
        <v>0</v>
      </c>
      <c r="E23" s="21">
        <v>1</v>
      </c>
      <c r="F23" s="21">
        <v>2</v>
      </c>
      <c r="G23" s="21">
        <v>5</v>
      </c>
      <c r="H23" s="21">
        <v>77</v>
      </c>
      <c r="I23" s="21">
        <v>4</v>
      </c>
      <c r="J23" s="21">
        <v>25</v>
      </c>
      <c r="K23" s="21">
        <f>Table3[[#This Row],[تعمیری  نوع 3]]+Table3[[#This Row],[تعمیری  نوع 2]]+Table3[[#This Row],[تعمیری  نوع 1]]</f>
        <v>84</v>
      </c>
      <c r="L23" s="21">
        <v>113</v>
      </c>
      <c r="M23" s="21">
        <v>0</v>
      </c>
      <c r="N23" s="21">
        <f>Table3[[#This Row],[ارزیابی کلان‌شهرها  ]]+Table3[[#This Row],[ارزیابی شهر و روستا  ]]</f>
        <v>113</v>
      </c>
      <c r="O23" s="21">
        <f>Table3[[#This Row],[اعتبار تعمیری (میلیون ریال)  ]]+Table3[[#This Row],[اعتبار احداثی (میلیون ریال)  ]]</f>
        <v>174300</v>
      </c>
      <c r="P23" s="21">
        <v>100000</v>
      </c>
      <c r="Q23" s="21">
        <v>74300</v>
      </c>
      <c r="R23" s="21">
        <v>4</v>
      </c>
      <c r="S23" s="21">
        <v>4</v>
      </c>
      <c r="T23" s="21">
        <v>6</v>
      </c>
      <c r="U23" s="21">
        <v>49</v>
      </c>
      <c r="V23" s="21">
        <f>Table3[[#This Row],[تعمیرات نوع 3  ]]+Table3[[#This Row],[تعمیرات نوع 2  ]]+Table3[[#This Row],[تعمیرات نوع 1]]</f>
        <v>59</v>
      </c>
      <c r="W23" s="21">
        <v>4</v>
      </c>
      <c r="X23" s="21">
        <v>4</v>
      </c>
      <c r="Y23" s="24">
        <v>1.2</v>
      </c>
      <c r="Z23" s="20">
        <v>4</v>
      </c>
      <c r="AA23" s="20">
        <v>4</v>
      </c>
      <c r="AB23" s="20">
        <v>4</v>
      </c>
      <c r="AC23" s="20">
        <v>4</v>
      </c>
    </row>
    <row r="24" spans="1:29" s="20" customFormat="1" ht="20.25" x14ac:dyDescent="0.2">
      <c r="A24" s="21">
        <v>22</v>
      </c>
      <c r="B24" s="21" t="s">
        <v>73</v>
      </c>
      <c r="C24" s="21" t="s">
        <v>84</v>
      </c>
      <c r="D24" s="21">
        <v>1</v>
      </c>
      <c r="E24" s="21">
        <v>2</v>
      </c>
      <c r="F24" s="21">
        <v>6</v>
      </c>
      <c r="G24" s="21">
        <v>17</v>
      </c>
      <c r="H24" s="21">
        <v>115</v>
      </c>
      <c r="I24" s="21">
        <v>9</v>
      </c>
      <c r="J24" s="21">
        <v>18</v>
      </c>
      <c r="K24" s="21">
        <f>Table3[[#This Row],[تعمیری  نوع 3]]+Table3[[#This Row],[تعمیری  نوع 2]]+Table3[[#This Row],[تعمیری  نوع 1]]</f>
        <v>138</v>
      </c>
      <c r="L24" s="21">
        <v>165</v>
      </c>
      <c r="M24" s="21">
        <v>0</v>
      </c>
      <c r="N24" s="21">
        <f>Table3[[#This Row],[ارزیابی کلان‌شهرها  ]]+Table3[[#This Row],[ارزیابی شهر و روستا  ]]</f>
        <v>165</v>
      </c>
      <c r="O24" s="21">
        <f>Table3[[#This Row],[اعتبار تعمیری (میلیون ریال)  ]]+Table3[[#This Row],[اعتبار احداثی (میلیون ریال)  ]]</f>
        <v>399700</v>
      </c>
      <c r="P24" s="21">
        <v>225000</v>
      </c>
      <c r="Q24" s="21">
        <v>174700</v>
      </c>
      <c r="R24" s="21">
        <v>9</v>
      </c>
      <c r="S24" s="21">
        <v>3</v>
      </c>
      <c r="T24" s="21">
        <v>15</v>
      </c>
      <c r="U24" s="21">
        <v>85</v>
      </c>
      <c r="V24" s="21">
        <f>Table3[[#This Row],[تعمیرات نوع 3  ]]+Table3[[#This Row],[تعمیرات نوع 2  ]]+Table3[[#This Row],[تعمیرات نوع 1]]</f>
        <v>103</v>
      </c>
      <c r="W24" s="21">
        <v>8</v>
      </c>
      <c r="X24" s="21">
        <v>8</v>
      </c>
      <c r="Y24" s="24">
        <v>2.4</v>
      </c>
      <c r="Z24" s="20">
        <v>9</v>
      </c>
      <c r="AA24" s="20">
        <v>6</v>
      </c>
      <c r="AB24" s="20">
        <v>6</v>
      </c>
      <c r="AC24" s="20">
        <v>1</v>
      </c>
    </row>
    <row r="25" spans="1:29" s="20" customFormat="1" ht="20.25" x14ac:dyDescent="0.2">
      <c r="A25" s="21">
        <v>23</v>
      </c>
      <c r="B25" s="21" t="s">
        <v>74</v>
      </c>
      <c r="C25" s="21" t="s">
        <v>84</v>
      </c>
      <c r="D25" s="21">
        <v>8</v>
      </c>
      <c r="E25" s="21">
        <v>9</v>
      </c>
      <c r="F25" s="21">
        <v>41</v>
      </c>
      <c r="G25" s="21">
        <v>143</v>
      </c>
      <c r="H25" s="21">
        <v>625</v>
      </c>
      <c r="I25" s="21">
        <v>42</v>
      </c>
      <c r="J25" s="21">
        <v>274</v>
      </c>
      <c r="K25" s="21">
        <f>Table3[[#This Row],[تعمیری  نوع 3]]+Table3[[#This Row],[تعمیری  نوع 2]]+Table3[[#This Row],[تعمیری  نوع 1]]</f>
        <v>809</v>
      </c>
      <c r="L25" s="21">
        <v>1125</v>
      </c>
      <c r="M25" s="21">
        <v>0</v>
      </c>
      <c r="N25" s="21">
        <f>Table3[[#This Row],[ارزیابی کلان‌شهرها  ]]+Table3[[#This Row],[ارزیابی شهر و روستا  ]]</f>
        <v>1125</v>
      </c>
      <c r="O25" s="21">
        <f>Table3[[#This Row],[اعتبار تعمیری (میلیون ریال)  ]]+Table3[[#This Row],[اعتبار احداثی (میلیون ریال)  ]]</f>
        <v>2113800</v>
      </c>
      <c r="P25" s="21">
        <v>978800</v>
      </c>
      <c r="Q25" s="21">
        <v>1135000</v>
      </c>
      <c r="R25" s="21">
        <v>15</v>
      </c>
      <c r="S25" s="21">
        <v>3</v>
      </c>
      <c r="T25" s="21">
        <v>10</v>
      </c>
      <c r="U25" s="21">
        <v>175</v>
      </c>
      <c r="V25" s="21">
        <f>Table3[[#This Row],[تعمیرات نوع 3  ]]+Table3[[#This Row],[تعمیرات نوع 2  ]]+Table3[[#This Row],[تعمیرات نوع 1]]</f>
        <v>188</v>
      </c>
      <c r="W25" s="21">
        <v>351</v>
      </c>
      <c r="X25" s="21">
        <v>273</v>
      </c>
      <c r="Y25" s="24">
        <v>190.6</v>
      </c>
      <c r="Z25" s="20">
        <v>137</v>
      </c>
      <c r="AA25" s="20">
        <v>124</v>
      </c>
      <c r="AB25" s="20">
        <v>137</v>
      </c>
      <c r="AC25" s="20">
        <v>114</v>
      </c>
    </row>
    <row r="26" spans="1:29" s="20" customFormat="1" ht="20.25" x14ac:dyDescent="0.2">
      <c r="A26" s="21">
        <v>24</v>
      </c>
      <c r="B26" s="21" t="s">
        <v>75</v>
      </c>
      <c r="C26" s="21" t="s">
        <v>84</v>
      </c>
      <c r="D26" s="21">
        <v>1</v>
      </c>
      <c r="E26" s="21">
        <v>0</v>
      </c>
      <c r="F26" s="21">
        <v>25</v>
      </c>
      <c r="G26" s="21">
        <v>51</v>
      </c>
      <c r="H26" s="21">
        <v>248</v>
      </c>
      <c r="I26" s="21">
        <v>3</v>
      </c>
      <c r="J26" s="21">
        <v>105</v>
      </c>
      <c r="K26" s="21">
        <f>Table3[[#This Row],[تعمیری  نوع 3]]+Table3[[#This Row],[تعمیری  نوع 2]]+Table3[[#This Row],[تعمیری  نوع 1]]</f>
        <v>324</v>
      </c>
      <c r="L26" s="21">
        <v>432</v>
      </c>
      <c r="M26" s="21">
        <v>0</v>
      </c>
      <c r="N26" s="21">
        <f>Table3[[#This Row],[ارزیابی کلان‌شهرها  ]]+Table3[[#This Row],[ارزیابی شهر و روستا  ]]</f>
        <v>432</v>
      </c>
      <c r="O26" s="21">
        <f>Table3[[#This Row],[اعتبار تعمیری (میلیون ریال)  ]]+Table3[[#This Row],[اعتبار احداثی (میلیون ریال)  ]]</f>
        <v>578100</v>
      </c>
      <c r="P26" s="21">
        <v>75000</v>
      </c>
      <c r="Q26" s="21">
        <v>503100</v>
      </c>
      <c r="R26" s="21">
        <v>1</v>
      </c>
      <c r="S26" s="21">
        <v>13</v>
      </c>
      <c r="T26" s="21">
        <v>23</v>
      </c>
      <c r="U26" s="21">
        <v>118</v>
      </c>
      <c r="V26" s="21">
        <f>Table3[[#This Row],[تعمیرات نوع 3  ]]+Table3[[#This Row],[تعمیرات نوع 2  ]]+Table3[[#This Row],[تعمیرات نوع 1]]</f>
        <v>154</v>
      </c>
      <c r="W26" s="21">
        <v>6</v>
      </c>
      <c r="X26" s="21">
        <v>5</v>
      </c>
      <c r="Y26" s="24">
        <v>2.9</v>
      </c>
      <c r="Z26" s="20">
        <v>2</v>
      </c>
      <c r="AA26" s="20">
        <v>0</v>
      </c>
      <c r="AB26" s="20">
        <v>2</v>
      </c>
      <c r="AC26" s="20">
        <v>0</v>
      </c>
    </row>
    <row r="27" spans="1:29" s="13" customFormat="1" ht="20.25" x14ac:dyDescent="0.2">
      <c r="A27" s="20"/>
      <c r="B27" s="21"/>
      <c r="C27" s="20"/>
      <c r="D27" s="21"/>
      <c r="E27" s="21"/>
      <c r="F27" s="20"/>
      <c r="G27" s="20"/>
      <c r="H27" s="20"/>
      <c r="I27" s="20"/>
      <c r="J27" s="20"/>
      <c r="K27" s="20"/>
      <c r="L27" s="20"/>
      <c r="M27" s="20"/>
      <c r="N27" s="21"/>
      <c r="O27" s="21"/>
      <c r="P27" s="20"/>
      <c r="Q27" s="20"/>
      <c r="R27" s="21"/>
      <c r="S27" s="21"/>
      <c r="T27" s="21"/>
      <c r="U27" s="21"/>
      <c r="V27" s="21"/>
      <c r="W27" s="20"/>
      <c r="X27" s="20"/>
      <c r="Y27" s="25"/>
      <c r="Z27" s="20"/>
      <c r="AA27" s="20"/>
      <c r="AB27" s="20"/>
      <c r="AC27" s="20"/>
    </row>
    <row r="28" spans="1:29" ht="20.25" x14ac:dyDescent="0.2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x14ac:dyDescent="0.2">
      <c r="O29" s="19"/>
      <c r="R29" s="19"/>
    </row>
    <row r="30" spans="1:29" x14ac:dyDescent="0.2">
      <c r="O30" s="19"/>
    </row>
    <row r="32" spans="1:29" x14ac:dyDescent="0.2">
      <c r="Q32" s="1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workbookViewId="0">
      <selection activeCell="B10" sqref="B10"/>
    </sheetView>
  </sheetViews>
  <sheetFormatPr defaultRowHeight="14.25" x14ac:dyDescent="0.2"/>
  <cols>
    <col min="1" max="1" width="26.875" customWidth="1"/>
    <col min="2" max="2" width="26.375" customWidth="1"/>
  </cols>
  <sheetData>
    <row r="1" spans="1:2" ht="42" customHeight="1" x14ac:dyDescent="0.2">
      <c r="A1" s="11" t="s">
        <v>34</v>
      </c>
      <c r="B1" s="11" t="s">
        <v>33</v>
      </c>
    </row>
    <row r="2" spans="1:2" ht="33.75" customHeight="1" x14ac:dyDescent="0.2">
      <c r="A2" s="2" t="s">
        <v>0</v>
      </c>
      <c r="B2" s="4" t="e" cm="1">
        <f t="array" aca="1" ref="B2" ca="1">INDIRECT("ارزیابی!A2")</f>
        <v>#REF!</v>
      </c>
    </row>
    <row r="3" spans="1:2" ht="33.75" customHeight="1" x14ac:dyDescent="0.2">
      <c r="A3" s="6" t="s">
        <v>9</v>
      </c>
      <c r="B3" s="7" t="s">
        <v>10</v>
      </c>
    </row>
    <row r="4" spans="1:2" ht="25.5" x14ac:dyDescent="0.2">
      <c r="A4" s="1" t="s">
        <v>7</v>
      </c>
      <c r="B4" s="4" t="e" cm="1">
        <f t="array" aca="1" ref="B4" ca="1">INDIRECT("ارزیابی!E2")</f>
        <v>#REF!</v>
      </c>
    </row>
    <row r="5" spans="1:2" ht="25.5" x14ac:dyDescent="0.2">
      <c r="A5" s="1" t="s">
        <v>6</v>
      </c>
      <c r="B5" s="4" t="e" cm="1">
        <f t="array" aca="1" ref="B5" ca="1">INDIRECT("ارزیابی!F2")</f>
        <v>#REF!</v>
      </c>
    </row>
    <row r="6" spans="1:2" ht="25.5" x14ac:dyDescent="0.2">
      <c r="A6" s="1" t="s">
        <v>5</v>
      </c>
      <c r="B6" s="4" t="e" cm="1">
        <f t="array" aca="1" ref="B6" ca="1">INDIRECT("ارزیابی!G2")</f>
        <v>#REF!</v>
      </c>
    </row>
    <row r="7" spans="1:2" ht="25.5" x14ac:dyDescent="0.2">
      <c r="A7" s="3" t="s">
        <v>14</v>
      </c>
      <c r="B7" s="4" t="e" cm="1">
        <f t="array" aca="1" ref="B7" ca="1">INDIRECT("ارزیابی!H2")</f>
        <v>#REF!</v>
      </c>
    </row>
    <row r="8" spans="1:2" ht="25.5" x14ac:dyDescent="0.2">
      <c r="A8" s="3" t="s">
        <v>13</v>
      </c>
      <c r="B8" s="4" t="e" cm="1">
        <f t="array" aca="1" ref="B8" ca="1">INDIRECT("ارزیابی!I2")</f>
        <v>#REF!</v>
      </c>
    </row>
    <row r="9" spans="1:2" ht="25.5" x14ac:dyDescent="0.2">
      <c r="A9" s="3" t="s">
        <v>26</v>
      </c>
      <c r="B9" s="4" t="e" cm="1">
        <f t="array" aca="1" ref="B9" ca="1">INDIRECT("ارزیابی!J2")</f>
        <v>#REF!</v>
      </c>
    </row>
    <row r="10" spans="1:2" ht="25.5" x14ac:dyDescent="0.2">
      <c r="A10" s="3" t="s">
        <v>12</v>
      </c>
      <c r="B10" s="4" t="e" cm="1">
        <f t="array" aca="1" ref="B10" ca="1">INDIRECT("ارزیابی!K2")</f>
        <v>#REF!</v>
      </c>
    </row>
    <row r="11" spans="1:2" ht="25.5" x14ac:dyDescent="0.2">
      <c r="A11" s="3" t="s">
        <v>15</v>
      </c>
      <c r="B11" s="4" t="e" cm="1">
        <f t="array" aca="1" ref="B11" ca="1">INDIRECT("ارزیابی!L2")</f>
        <v>#REF!</v>
      </c>
    </row>
    <row r="12" spans="1:2" ht="25.5" x14ac:dyDescent="0.2">
      <c r="A12" s="3" t="s">
        <v>16</v>
      </c>
      <c r="B12" s="4" t="e" cm="1">
        <f t="array" aca="1" ref="B12" ca="1">INDIRECT("ارزیابی!M2")</f>
        <v>#REF!</v>
      </c>
    </row>
    <row r="13" spans="1:2" ht="29.25" customHeight="1" x14ac:dyDescent="0.2">
      <c r="A13" s="6" t="s">
        <v>17</v>
      </c>
      <c r="B13" s="6" t="s">
        <v>11</v>
      </c>
    </row>
    <row r="14" spans="1:2" ht="25.5" x14ac:dyDescent="0.2">
      <c r="A14" s="3" t="s">
        <v>29</v>
      </c>
      <c r="B14" s="5" t="e" cm="1">
        <f t="array" aca="1" ref="B14" ca="1">INDIRECT("عملکرد!B2")</f>
        <v>#REF!</v>
      </c>
    </row>
    <row r="15" spans="1:2" ht="28.5" customHeight="1" x14ac:dyDescent="0.2">
      <c r="A15" s="3" t="s">
        <v>18</v>
      </c>
      <c r="B15" s="5" t="e" cm="1">
        <f t="array" aca="1" ref="B15" ca="1">INDIRECT("عملکرد!C2")</f>
        <v>#REF!</v>
      </c>
    </row>
    <row r="16" spans="1:2" ht="25.5" x14ac:dyDescent="0.2">
      <c r="A16" s="3" t="s">
        <v>19</v>
      </c>
      <c r="B16" s="5" t="e" cm="1">
        <f t="array" aca="1" ref="B16" ca="1">INDIRECT("عملکرد!D2")</f>
        <v>#REF!</v>
      </c>
    </row>
    <row r="17" spans="1:2" ht="25.5" x14ac:dyDescent="0.2">
      <c r="A17" s="3" t="s">
        <v>30</v>
      </c>
      <c r="B17" s="4" t="e" cm="1">
        <f t="array" aca="1" ref="B17" ca="1">INDIRECT("عملکرد!E2")</f>
        <v>#REF!</v>
      </c>
    </row>
    <row r="18" spans="1:2" ht="25.5" x14ac:dyDescent="0.2">
      <c r="A18" s="3" t="s">
        <v>20</v>
      </c>
      <c r="B18" s="4" t="e" cm="1">
        <f t="array" aca="1" ref="B18" ca="1">INDIRECT("عملکرد!F2")</f>
        <v>#REF!</v>
      </c>
    </row>
    <row r="19" spans="1:2" ht="25.5" x14ac:dyDescent="0.2">
      <c r="A19" s="3" t="s">
        <v>8</v>
      </c>
      <c r="B19" s="4" t="e" cm="1">
        <f t="array" aca="1" ref="B19" ca="1">INDIRECT("عملکرد!G2")</f>
        <v>#REF!</v>
      </c>
    </row>
    <row r="20" spans="1:2" ht="25.5" x14ac:dyDescent="0.2">
      <c r="A20" s="3" t="s">
        <v>21</v>
      </c>
      <c r="B20" s="4" t="e" cm="1">
        <f t="array" aca="1" ref="B20" ca="1">INDIRECT("عملکرد!H2")</f>
        <v>#REF!</v>
      </c>
    </row>
    <row r="21" spans="1:2" ht="25.5" x14ac:dyDescent="0.2">
      <c r="A21" s="3" t="s">
        <v>22</v>
      </c>
      <c r="B21" s="4" t="e" cm="1">
        <f t="array" aca="1" ref="B21" ca="1">INDIRECT("عملکرد!I2")</f>
        <v>#REF!</v>
      </c>
    </row>
    <row r="22" spans="1:2" ht="25.5" x14ac:dyDescent="0.2">
      <c r="A22" s="3" t="s">
        <v>31</v>
      </c>
      <c r="B22" s="4" t="e" cm="1">
        <f t="array" aca="1" ref="B22" ca="1">INDIRECT("عملکرد!J2")</f>
        <v>#REF!</v>
      </c>
    </row>
    <row r="23" spans="1:2" ht="25.5" x14ac:dyDescent="0.2">
      <c r="A23" s="3" t="s">
        <v>23</v>
      </c>
      <c r="B23" s="4" t="e" cm="1">
        <f t="array" aca="1" ref="B23" ca="1">INDIRECT("عملکرد!K2")</f>
        <v>#REF!</v>
      </c>
    </row>
    <row r="24" spans="1:2" ht="25.5" x14ac:dyDescent="0.2">
      <c r="A24" s="3" t="s">
        <v>24</v>
      </c>
      <c r="B24" s="4" t="e" cm="1">
        <f t="array" aca="1" ref="B24" ca="1">INDIRECT("عملکرد!M2")</f>
        <v>#REF!</v>
      </c>
    </row>
    <row r="25" spans="1:2" ht="25.5" x14ac:dyDescent="0.2">
      <c r="A25" s="3" t="s">
        <v>25</v>
      </c>
      <c r="B25" s="4" t="e" cm="1">
        <f t="array" aca="1" ref="B25" ca="1">INDIRECT("عملکرد!N2")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21"/>
  <sheetViews>
    <sheetView rightToLeft="1" workbookViewId="0">
      <selection activeCell="A5" sqref="A5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9" t="s">
        <v>27</v>
      </c>
      <c r="B1" s="9" t="s">
        <v>28</v>
      </c>
    </row>
    <row r="2" spans="1:2" ht="25.5" customHeight="1" x14ac:dyDescent="0.2">
      <c r="A2" s="10" t="s">
        <v>35</v>
      </c>
      <c r="B2" s="10">
        <v>9121131527</v>
      </c>
    </row>
    <row r="3" spans="1:2" ht="25.5" customHeight="1" x14ac:dyDescent="0.2">
      <c r="A3" s="10" t="s">
        <v>36</v>
      </c>
      <c r="B3" s="10">
        <v>9122757248</v>
      </c>
    </row>
    <row r="4" spans="1:2" ht="20.25" customHeight="1" x14ac:dyDescent="0.2">
      <c r="A4" s="10" t="s">
        <v>32</v>
      </c>
      <c r="B4" s="10">
        <v>9122257585</v>
      </c>
    </row>
    <row r="5" spans="1:2" ht="20.25" customHeight="1" x14ac:dyDescent="0.2">
      <c r="A5" s="8"/>
      <c r="B5" s="8"/>
    </row>
    <row r="6" spans="1:2" ht="20.25" customHeight="1" x14ac:dyDescent="0.2">
      <c r="A6" s="8"/>
      <c r="B6" s="8"/>
    </row>
    <row r="7" spans="1:2" ht="20.25" customHeight="1" x14ac:dyDescent="0.2">
      <c r="A7" s="8"/>
      <c r="B7" s="8"/>
    </row>
    <row r="8" spans="1:2" ht="20.25" customHeight="1" x14ac:dyDescent="0.2">
      <c r="A8" s="8"/>
      <c r="B8" s="8"/>
    </row>
    <row r="9" spans="1:2" ht="20.25" customHeight="1" x14ac:dyDescent="0.2">
      <c r="A9" s="8"/>
      <c r="B9" s="8"/>
    </row>
    <row r="10" spans="1:2" ht="20.25" customHeight="1" x14ac:dyDescent="0.2">
      <c r="A10" s="8"/>
      <c r="B10" s="8"/>
    </row>
    <row r="11" spans="1:2" ht="20.25" customHeight="1" x14ac:dyDescent="0.2">
      <c r="A11" s="8"/>
      <c r="B11" s="8"/>
    </row>
    <row r="12" spans="1:2" ht="20.25" customHeight="1" x14ac:dyDescent="0.2">
      <c r="A12" s="8"/>
      <c r="B12" s="8"/>
    </row>
    <row r="13" spans="1:2" ht="20.25" customHeight="1" x14ac:dyDescent="0.2">
      <c r="A13" s="8"/>
      <c r="B13" s="8"/>
    </row>
    <row r="14" spans="1:2" ht="20.25" customHeight="1" x14ac:dyDescent="0.2">
      <c r="A14" s="8"/>
      <c r="B14" s="8"/>
    </row>
    <row r="15" spans="1:2" ht="20.25" customHeight="1" x14ac:dyDescent="0.2">
      <c r="A15" s="8"/>
      <c r="B15" s="8"/>
    </row>
    <row r="16" spans="1:2" ht="20.25" customHeight="1" x14ac:dyDescent="0.2">
      <c r="A16" s="8"/>
      <c r="B16" s="8"/>
    </row>
    <row r="17" spans="1:2" ht="20.25" customHeight="1" x14ac:dyDescent="0.2">
      <c r="A17" s="8"/>
      <c r="B17" s="8"/>
    </row>
    <row r="18" spans="1:2" ht="20.25" customHeight="1" x14ac:dyDescent="0.2">
      <c r="A18" s="8"/>
      <c r="B18" s="8"/>
    </row>
    <row r="19" spans="1:2" ht="20.25" customHeight="1" x14ac:dyDescent="0.2">
      <c r="A19" s="8"/>
      <c r="B19" s="8"/>
    </row>
    <row r="20" spans="1:2" ht="20.25" customHeight="1" x14ac:dyDescent="0.2">
      <c r="A20" s="8"/>
      <c r="B20" s="8"/>
    </row>
    <row r="21" spans="1:2" ht="20.25" customHeight="1" x14ac:dyDescent="0.2">
      <c r="A21" s="8"/>
      <c r="B2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WarReport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Ashkan Kazemi</cp:lastModifiedBy>
  <dcterms:created xsi:type="dcterms:W3CDTF">2026-05-12T19:05:27Z</dcterms:created>
  <dcterms:modified xsi:type="dcterms:W3CDTF">2026-08-19T08:52:36Z</dcterms:modified>
</cp:coreProperties>
</file>